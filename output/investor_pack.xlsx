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an Detail" sheetId="2" state="visible" r:id="rId2"/>
    <sheet xmlns:r="http://schemas.openxmlformats.org/officeDocument/2006/relationships" name="Discrepancies" sheetId="3" state="visible" r:id="rId3"/>
    <sheet xmlns:r="http://schemas.openxmlformats.org/officeDocument/2006/relationships" name="Vintage Analysis" sheetId="4" state="visible" r:id="rId4"/>
    <sheet xmlns:r="http://schemas.openxmlformats.org/officeDocument/2006/relationships" name="By 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E1A15"/>
      <sz val="11"/>
    </font>
    <font>
      <name val="Arial"/>
      <b val="1"/>
      <color rgb="000E1A15"/>
      <sz val="16"/>
    </font>
    <font>
      <name val="Arial"/>
      <i val="1"/>
      <color rgb="005E6E66"/>
      <sz val="10"/>
    </font>
    <font>
      <name val="Arial"/>
      <b val="1"/>
      <color rgb="001A6E54"/>
      <sz val="14"/>
    </font>
    <font>
      <name val="Arial"/>
      <b val="1"/>
      <color rgb="000E1A15"/>
      <sz val="12"/>
    </font>
  </fonts>
  <fills count="3">
    <fill>
      <patternFill/>
    </fill>
    <fill>
      <patternFill patternType="gray125"/>
    </fill>
    <fill>
      <patternFill patternType="solid">
        <fgColor rgb="001A6E54"/>
      </patternFill>
    </fill>
  </fills>
  <borders count="2">
    <border>
      <left/>
      <right/>
      <top/>
      <bottom/>
      <diagonal/>
    </border>
    <border>
      <left style="thin">
        <color rgb="00D9DDD7"/>
      </left>
      <right style="thin">
        <color rgb="00D9DDD7"/>
      </right>
      <top style="thin">
        <color rgb="00D9DDD7"/>
      </top>
      <bottom style="thin">
        <color rgb="00D9DDD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1" fontId="5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/>
    </xf>
    <xf numFmtId="164" fontId="2" fillId="0" borderId="1" pivotButton="0" quotePrefix="0" xfId="0"/>
    <xf numFmtId="165" fontId="5" fillId="0" borderId="1" applyAlignment="1" pivotButton="0" quotePrefix="0" xfId="0">
      <alignment horizontal="right"/>
    </xf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Outstanding by arrears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'Summary'!$D$5:$D$8</f>
            </numRef>
          </cat>
          <val>
            <numRef>
              <f>'Summary'!$F$5:$F$8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Collection rate by vintage</a:t>
            </a:r>
          </a:p>
        </rich>
      </tx>
    </title>
    <plotArea>
      <lineChart>
        <grouping val="standard"/>
        <ser>
          <idx val="0"/>
          <order val="0"/>
          <tx>
            <strRef>
              <f>'Vintage Analysis'!F4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'Vintage Analysis'!$A$5:$A$22</f>
            </numRef>
          </cat>
          <val>
            <numRef>
              <f>'Vintage Analysis'!$F$5:$F$22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4" max="4"/>
    <col width="9" customWidth="1" min="5" max="5"/>
    <col width="18" customWidth="1" min="6" max="6"/>
  </cols>
  <sheetData>
    <row r="1">
      <c r="A1" s="1" t="inlineStr">
        <is>
          <t>Loan Portfolio — Investor Pack</t>
        </is>
      </c>
    </row>
    <row r="2">
      <c r="A2" s="2" t="inlineStr">
        <is>
          <t>Reconciled as of 01 Jun 2026  ·  auto-generated</t>
        </is>
      </c>
    </row>
    <row r="3">
      <c r="D3" s="3" t="inlineStr">
        <is>
          <t>Portfolio by arrears bucket</t>
        </is>
      </c>
    </row>
    <row r="4">
      <c r="A4" s="4" t="inlineStr">
        <is>
          <t>Active loans</t>
        </is>
      </c>
      <c r="B4" s="5">
        <f>COUNTA('Loan Detail'!A2:A241)</f>
        <v/>
      </c>
      <c r="D4" s="6" t="inlineStr">
        <is>
          <t>DPD bucket</t>
        </is>
      </c>
      <c r="E4" s="6" t="inlineStr">
        <is>
          <t>Loans</t>
        </is>
      </c>
      <c r="F4" s="6" t="inlineStr">
        <is>
          <t>Outstanding (NGN)</t>
        </is>
      </c>
    </row>
    <row r="5">
      <c r="A5" s="4" t="inlineStr">
        <is>
          <t>Total disbursed (NGN)</t>
        </is>
      </c>
      <c r="B5" s="7">
        <f>SUM('Loan Detail'!E2:E241)</f>
        <v/>
      </c>
      <c r="D5" s="4" t="inlineStr">
        <is>
          <t>Current</t>
        </is>
      </c>
      <c r="E5" s="4">
        <f>COUNTIF('Loan Detail'!N2:N241,"Current")</f>
        <v/>
      </c>
      <c r="F5" s="8">
        <f>SUMIF('Loan Detail'!N2:N241,"Current",'Loan Detail'!L2:L241)</f>
        <v/>
      </c>
    </row>
    <row r="6">
      <c r="A6" s="4" t="inlineStr">
        <is>
          <t>Outstanding principal (NGN)</t>
        </is>
      </c>
      <c r="B6" s="7">
        <f>SUM('Loan Detail'!L2:L241)</f>
        <v/>
      </c>
      <c r="D6" s="4" t="inlineStr">
        <is>
          <t>1-30 dpd</t>
        </is>
      </c>
      <c r="E6" s="4">
        <f>COUNTIF('Loan Detail'!N2:N241,"1-30 dpd")</f>
        <v/>
      </c>
      <c r="F6" s="8">
        <f>SUMIF('Loan Detail'!N2:N241,"1-30 dpd",'Loan Detail'!L2:L241)</f>
        <v/>
      </c>
    </row>
    <row r="7">
      <c r="A7" s="4" t="inlineStr">
        <is>
          <t>Collected to date (NGN)</t>
        </is>
      </c>
      <c r="B7" s="7">
        <f>SUM('Loan Detail'!J2:J241)</f>
        <v/>
      </c>
      <c r="D7" s="4" t="inlineStr">
        <is>
          <t>31-90 dpd</t>
        </is>
      </c>
      <c r="E7" s="4">
        <f>COUNTIF('Loan Detail'!N2:N241,"31-90 dpd")</f>
        <v/>
      </c>
      <c r="F7" s="8">
        <f>SUMIF('Loan Detail'!N2:N241,"31-90 dpd",'Loan Detail'!L2:L241)</f>
        <v/>
      </c>
    </row>
    <row r="8">
      <c r="A8" s="4" t="inlineStr">
        <is>
          <t>Collection rate</t>
        </is>
      </c>
      <c r="B8" s="9">
        <f>SUM('Loan Detail'!J2:J241)/SUM('Loan Detail'!I2:I241)</f>
        <v/>
      </c>
      <c r="D8" s="4" t="inlineStr">
        <is>
          <t>90+ dpd</t>
        </is>
      </c>
      <c r="E8" s="4">
        <f>COUNTIF('Loan Detail'!N2:N241,"90+ dpd")</f>
        <v/>
      </c>
      <c r="F8" s="8">
        <f>SUMIF('Loan Detail'!N2:N241,"90+ dpd",'Loan Detail'!L2:L241)</f>
        <v/>
      </c>
    </row>
    <row r="9">
      <c r="A9" s="4" t="inlineStr">
        <is>
          <t>PAR30</t>
        </is>
      </c>
      <c r="B9" s="9">
        <f>SUMIFS('Loan Detail'!L2:L241,'Loan Detail'!M2:M241,"&gt;30")/SUM('Loan Detail'!L2:L241)</f>
        <v/>
      </c>
    </row>
    <row r="10">
      <c r="A10" s="4" t="inlineStr">
        <is>
          <t>PAR90</t>
        </is>
      </c>
      <c r="B10" s="9">
        <f>SUMIFS('Loan Detail'!L2:L241,'Loan Detail'!M2:M241,"&gt;90")/SUM('Loan Detail'!L2:L241)</f>
        <v/>
      </c>
    </row>
    <row r="11">
      <c r="A11" s="4" t="inlineStr">
        <is>
          <t>Default rate (90+ DPD)</t>
        </is>
      </c>
      <c r="B11" s="9">
        <f>COUNTIF('Loan Detail'!M2:M241,"&gt;90")/COUNTA('Loan Detail'!A2:A241)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3" customWidth="1" min="4" max="4"/>
    <col width="15" customWidth="1" min="5" max="5"/>
    <col width="9" customWidth="1" min="6" max="6"/>
    <col width="15" customWidth="1" min="7" max="7"/>
    <col width="17" customWidth="1" min="8" max="8"/>
    <col width="17" customWidth="1" min="9" max="9"/>
    <col width="17" customWidth="1" min="10" max="10"/>
    <col width="14" customWidth="1" min="11" max="11"/>
    <col width="16" customWidth="1" min="12" max="12"/>
    <col width="7" customWidth="1" min="13" max="13"/>
    <col width="12" customWidth="1" min="14" max="14"/>
    <col width="13" customWidth="1" min="15" max="15"/>
  </cols>
  <sheetData>
    <row r="1">
      <c r="A1" s="6" t="inlineStr">
        <is>
          <t>Loan ID</t>
        </is>
      </c>
      <c r="B1" s="6" t="inlineStr">
        <is>
          <t>Business</t>
        </is>
      </c>
      <c r="C1" s="6" t="inlineStr">
        <is>
          <t>Sector</t>
        </is>
      </c>
      <c r="D1" s="6" t="inlineStr">
        <is>
          <t>Disbursed on</t>
        </is>
      </c>
      <c r="E1" s="6" t="inlineStr">
        <is>
          <t>Principal (NGN)</t>
        </is>
      </c>
      <c r="F1" s="6" t="inlineStr">
        <is>
          <t>Term (mo)</t>
        </is>
      </c>
      <c r="G1" s="6" t="inlineStr">
        <is>
          <t>Installment (NGN)</t>
        </is>
      </c>
      <c r="H1" s="6" t="inlineStr">
        <is>
          <t>Total repayable (NGN)</t>
        </is>
      </c>
      <c r="I1" s="6" t="inlineStr">
        <is>
          <t>Expected to date (NGN)</t>
        </is>
      </c>
      <c r="J1" s="6" t="inlineStr">
        <is>
          <t>Collected to date (NGN)</t>
        </is>
      </c>
      <c r="K1" s="6" t="inlineStr">
        <is>
          <t>Variance (NGN)</t>
        </is>
      </c>
      <c r="L1" s="6" t="inlineStr">
        <is>
          <t>Outstanding (NGN)</t>
        </is>
      </c>
      <c r="M1" s="6" t="inlineStr">
        <is>
          <t>DPD</t>
        </is>
      </c>
      <c r="N1" s="6" t="inlineStr">
        <is>
          <t>DPD bucket</t>
        </is>
      </c>
      <c r="O1" s="6" t="inlineStr">
        <is>
          <t>Months on book</t>
        </is>
      </c>
    </row>
    <row r="2">
      <c r="A2" s="4" t="inlineStr">
        <is>
          <t>L1000</t>
        </is>
      </c>
      <c r="B2" s="4" t="inlineStr">
        <is>
          <t>Lagoon Ventures</t>
        </is>
      </c>
      <c r="C2" s="4" t="inlineStr">
        <is>
          <t>Construction</t>
        </is>
      </c>
      <c r="D2" s="4" t="inlineStr">
        <is>
          <t>2025-01-21</t>
        </is>
      </c>
      <c r="E2" s="8" t="n">
        <v>1500000</v>
      </c>
      <c r="F2" s="4" t="n">
        <v>12</v>
      </c>
      <c r="G2" s="8" t="n">
        <v>152500</v>
      </c>
      <c r="H2" s="8" t="n">
        <v>1830000</v>
      </c>
      <c r="I2" s="8" t="n">
        <v>1830000</v>
      </c>
      <c r="J2" s="8" t="n">
        <v>1830000</v>
      </c>
      <c r="K2" s="8" t="n">
        <v>0</v>
      </c>
      <c r="L2" s="8" t="n">
        <v>0</v>
      </c>
      <c r="M2" s="4" t="n">
        <v>0</v>
      </c>
      <c r="N2" s="4" t="inlineStr">
        <is>
          <t>Current</t>
        </is>
      </c>
      <c r="O2" s="4" t="n">
        <v>17</v>
      </c>
    </row>
    <row r="3">
      <c r="A3" s="4" t="inlineStr">
        <is>
          <t>L1001</t>
        </is>
      </c>
      <c r="B3" s="4" t="inlineStr">
        <is>
          <t>Crown Enterprises</t>
        </is>
      </c>
      <c r="C3" s="4" t="inlineStr">
        <is>
          <t>Technology</t>
        </is>
      </c>
      <c r="D3" s="4" t="inlineStr">
        <is>
          <t>2025-03-03</t>
        </is>
      </c>
      <c r="E3" s="8" t="n">
        <v>1000000</v>
      </c>
      <c r="F3" s="4" t="n">
        <v>24</v>
      </c>
      <c r="G3" s="8" t="n">
        <v>63333.33</v>
      </c>
      <c r="H3" s="8" t="n">
        <v>1519999.92</v>
      </c>
      <c r="I3" s="8" t="n">
        <v>949999.95</v>
      </c>
      <c r="J3" s="8" t="n">
        <v>886666.62</v>
      </c>
      <c r="K3" s="8" t="n">
        <v>-63333.33</v>
      </c>
      <c r="L3" s="8" t="n">
        <v>633333.3</v>
      </c>
      <c r="M3" s="4" t="n">
        <v>0</v>
      </c>
      <c r="N3" s="4" t="inlineStr">
        <is>
          <t>Current</t>
        </is>
      </c>
      <c r="O3" s="4" t="n">
        <v>15</v>
      </c>
    </row>
    <row r="4">
      <c r="A4" s="4" t="inlineStr">
        <is>
          <t>L1002</t>
        </is>
      </c>
      <c r="B4" s="4" t="inlineStr">
        <is>
          <t>Metro Foods</t>
        </is>
      </c>
      <c r="C4" s="4" t="inlineStr">
        <is>
          <t>Manufacturing</t>
        </is>
      </c>
      <c r="D4" s="4" t="inlineStr">
        <is>
          <t>2025-09-04</t>
        </is>
      </c>
      <c r="E4" s="8" t="n">
        <v>2000000</v>
      </c>
      <c r="F4" s="4" t="n">
        <v>12</v>
      </c>
      <c r="G4" s="8" t="n">
        <v>210000</v>
      </c>
      <c r="H4" s="8" t="n">
        <v>2520000</v>
      </c>
      <c r="I4" s="8" t="n">
        <v>1890000</v>
      </c>
      <c r="J4" s="8" t="n">
        <v>1260000</v>
      </c>
      <c r="K4" s="8" t="n">
        <v>-630000</v>
      </c>
      <c r="L4" s="8" t="n">
        <v>1260000</v>
      </c>
      <c r="M4" s="4" t="n">
        <v>58</v>
      </c>
      <c r="N4" s="4" t="inlineStr">
        <is>
          <t>31-90 dpd</t>
        </is>
      </c>
      <c r="O4" s="4" t="n">
        <v>9</v>
      </c>
    </row>
    <row r="5">
      <c r="A5" s="4" t="inlineStr">
        <is>
          <t>L1003</t>
        </is>
      </c>
      <c r="B5" s="4" t="inlineStr">
        <is>
          <t>Unity Traders</t>
        </is>
      </c>
      <c r="C5" s="4" t="inlineStr">
        <is>
          <t>Logistics</t>
        </is>
      </c>
      <c r="D5" s="4" t="inlineStr">
        <is>
          <t>2026-02-18</t>
        </is>
      </c>
      <c r="E5" s="8" t="n">
        <v>750000</v>
      </c>
      <c r="F5" s="4" t="n">
        <v>24</v>
      </c>
      <c r="G5" s="8" t="n">
        <v>47500</v>
      </c>
      <c r="H5" s="8" t="n">
        <v>1140000</v>
      </c>
      <c r="I5" s="8" t="n">
        <v>190000</v>
      </c>
      <c r="J5" s="8" t="n">
        <v>142500</v>
      </c>
      <c r="K5" s="8" t="n">
        <v>-47500</v>
      </c>
      <c r="L5" s="8" t="n">
        <v>997500</v>
      </c>
      <c r="M5" s="4" t="n">
        <v>0</v>
      </c>
      <c r="N5" s="4" t="inlineStr">
        <is>
          <t>Current</t>
        </is>
      </c>
      <c r="O5" s="4" t="n">
        <v>4</v>
      </c>
    </row>
    <row r="6">
      <c r="A6" s="4" t="inlineStr">
        <is>
          <t>L1004</t>
        </is>
      </c>
      <c r="B6" s="4" t="inlineStr">
        <is>
          <t>Sterling Logistics</t>
        </is>
      </c>
      <c r="C6" s="4" t="inlineStr">
        <is>
          <t>Construction</t>
        </is>
      </c>
      <c r="D6" s="4" t="inlineStr">
        <is>
          <t>2025-01-15</t>
        </is>
      </c>
      <c r="E6" s="8" t="n">
        <v>3000000</v>
      </c>
      <c r="F6" s="4" t="n">
        <v>6</v>
      </c>
      <c r="G6" s="8" t="n">
        <v>575000</v>
      </c>
      <c r="H6" s="8" t="n">
        <v>3450000</v>
      </c>
      <c r="I6" s="8" t="n">
        <v>3450000</v>
      </c>
      <c r="J6" s="8" t="n">
        <v>3450000</v>
      </c>
      <c r="K6" s="8" t="n">
        <v>0</v>
      </c>
      <c r="L6" s="8" t="n">
        <v>0</v>
      </c>
      <c r="M6" s="4" t="n">
        <v>0</v>
      </c>
      <c r="N6" s="4" t="inlineStr">
        <is>
          <t>Current</t>
        </is>
      </c>
      <c r="O6" s="4" t="n">
        <v>17</v>
      </c>
    </row>
    <row r="7">
      <c r="A7" s="4" t="inlineStr">
        <is>
          <t>L1005</t>
        </is>
      </c>
      <c r="B7" s="4" t="inlineStr">
        <is>
          <t>Nova Traders</t>
        </is>
      </c>
      <c r="C7" s="4" t="inlineStr">
        <is>
          <t>Education</t>
        </is>
      </c>
      <c r="D7" s="4" t="inlineStr">
        <is>
          <t>2025-02-21</t>
        </is>
      </c>
      <c r="E7" s="8" t="n">
        <v>1500000</v>
      </c>
      <c r="F7" s="4" t="n">
        <v>9</v>
      </c>
      <c r="G7" s="8" t="n">
        <v>189166.67</v>
      </c>
      <c r="H7" s="8" t="n">
        <v>1702500.03</v>
      </c>
      <c r="I7" s="8" t="n">
        <v>1702500.03</v>
      </c>
      <c r="J7" s="8" t="n">
        <v>1702500.03</v>
      </c>
      <c r="K7" s="8" t="n">
        <v>0</v>
      </c>
      <c r="L7" s="8" t="n">
        <v>0</v>
      </c>
      <c r="M7" s="4" t="n">
        <v>0</v>
      </c>
      <c r="N7" s="4" t="inlineStr">
        <is>
          <t>Current</t>
        </is>
      </c>
      <c r="O7" s="4" t="n">
        <v>16</v>
      </c>
    </row>
    <row r="8">
      <c r="A8" s="4" t="inlineStr">
        <is>
          <t>L1006</t>
        </is>
      </c>
      <c r="B8" s="4" t="inlineStr">
        <is>
          <t>Unity Traders</t>
        </is>
      </c>
      <c r="C8" s="4" t="inlineStr">
        <is>
          <t>Retail</t>
        </is>
      </c>
      <c r="D8" s="4" t="inlineStr">
        <is>
          <t>2025-12-22</t>
        </is>
      </c>
      <c r="E8" s="8" t="n">
        <v>2000000</v>
      </c>
      <c r="F8" s="4" t="n">
        <v>6</v>
      </c>
      <c r="G8" s="8" t="n">
        <v>370000</v>
      </c>
      <c r="H8" s="8" t="n">
        <v>2220000</v>
      </c>
      <c r="I8" s="8" t="n">
        <v>2220000</v>
      </c>
      <c r="J8" s="8" t="n">
        <v>1850000</v>
      </c>
      <c r="K8" s="8" t="n">
        <v>-370000</v>
      </c>
      <c r="L8" s="8" t="n">
        <v>370000</v>
      </c>
      <c r="M8" s="4" t="n">
        <v>0</v>
      </c>
      <c r="N8" s="4" t="inlineStr">
        <is>
          <t>Current</t>
        </is>
      </c>
      <c r="O8" s="4" t="n">
        <v>6</v>
      </c>
    </row>
    <row r="9">
      <c r="A9" s="4" t="inlineStr">
        <is>
          <t>L1007</t>
        </is>
      </c>
      <c r="B9" s="4" t="inlineStr">
        <is>
          <t>Crown Holdings</t>
        </is>
      </c>
      <c r="C9" s="4" t="inlineStr">
        <is>
          <t>Manufacturing</t>
        </is>
      </c>
      <c r="D9" s="4" t="inlineStr">
        <is>
          <t>2025-09-05</t>
        </is>
      </c>
      <c r="E9" s="8" t="n">
        <v>2000000</v>
      </c>
      <c r="F9" s="4" t="n">
        <v>18</v>
      </c>
      <c r="G9" s="8" t="n">
        <v>161111.11</v>
      </c>
      <c r="H9" s="8" t="n">
        <v>2899999.98</v>
      </c>
      <c r="I9" s="8" t="n">
        <v>1449999.99</v>
      </c>
      <c r="J9" s="8" t="n">
        <v>1288888.88</v>
      </c>
      <c r="K9" s="8" t="n">
        <v>-161111.11</v>
      </c>
      <c r="L9" s="8" t="n">
        <v>1611111.1</v>
      </c>
      <c r="M9" s="4" t="n">
        <v>0</v>
      </c>
      <c r="N9" s="4" t="inlineStr">
        <is>
          <t>Current</t>
        </is>
      </c>
      <c r="O9" s="4" t="n">
        <v>9</v>
      </c>
    </row>
    <row r="10">
      <c r="A10" s="4" t="inlineStr">
        <is>
          <t>L1008</t>
        </is>
      </c>
      <c r="B10" s="4" t="inlineStr">
        <is>
          <t>Unity Services</t>
        </is>
      </c>
      <c r="C10" s="4" t="inlineStr">
        <is>
          <t>Food &amp; Beverage</t>
        </is>
      </c>
      <c r="D10" s="4" t="inlineStr">
        <is>
          <t>2025-07-09</t>
        </is>
      </c>
      <c r="E10" s="8" t="n">
        <v>3000000</v>
      </c>
      <c r="F10" s="4" t="n">
        <v>9</v>
      </c>
      <c r="G10" s="8" t="n">
        <v>378333.33</v>
      </c>
      <c r="H10" s="8" t="n">
        <v>3404999.97</v>
      </c>
      <c r="I10" s="8" t="n">
        <v>3404999.97</v>
      </c>
      <c r="J10" s="8" t="n">
        <v>3404999.97</v>
      </c>
      <c r="K10" s="8" t="n">
        <v>0</v>
      </c>
      <c r="L10" s="8" t="n">
        <v>0</v>
      </c>
      <c r="M10" s="4" t="n">
        <v>0</v>
      </c>
      <c r="N10" s="4" t="inlineStr">
        <is>
          <t>Current</t>
        </is>
      </c>
      <c r="O10" s="4" t="n">
        <v>11</v>
      </c>
    </row>
    <row r="11">
      <c r="A11" s="4" t="inlineStr">
        <is>
          <t>L1009</t>
        </is>
      </c>
      <c r="B11" s="4" t="inlineStr">
        <is>
          <t>Harvest Supplies</t>
        </is>
      </c>
      <c r="C11" s="4" t="inlineStr">
        <is>
          <t>Construction</t>
        </is>
      </c>
      <c r="D11" s="4" t="inlineStr">
        <is>
          <t>2025-08-04</t>
        </is>
      </c>
      <c r="E11" s="8" t="n">
        <v>1500000</v>
      </c>
      <c r="F11" s="4" t="n">
        <v>12</v>
      </c>
      <c r="G11" s="8" t="n">
        <v>152500</v>
      </c>
      <c r="H11" s="8" t="n">
        <v>1830000</v>
      </c>
      <c r="I11" s="8" t="n">
        <v>1525000</v>
      </c>
      <c r="J11" s="8" t="n">
        <v>1372500</v>
      </c>
      <c r="K11" s="8" t="n">
        <v>-152500</v>
      </c>
      <c r="L11" s="8" t="n">
        <v>457500</v>
      </c>
      <c r="M11" s="4" t="n">
        <v>0</v>
      </c>
      <c r="N11" s="4" t="inlineStr">
        <is>
          <t>Current</t>
        </is>
      </c>
      <c r="O11" s="4" t="n">
        <v>10</v>
      </c>
    </row>
    <row r="12">
      <c r="A12" s="4" t="inlineStr">
        <is>
          <t>L1010</t>
        </is>
      </c>
      <c r="B12" s="4" t="inlineStr">
        <is>
          <t>Pioneer Ventures</t>
        </is>
      </c>
      <c r="C12" s="4" t="inlineStr">
        <is>
          <t>Fashion</t>
        </is>
      </c>
      <c r="D12" s="4" t="inlineStr">
        <is>
          <t>2026-04-12</t>
        </is>
      </c>
      <c r="E12" s="8" t="n">
        <v>500000</v>
      </c>
      <c r="F12" s="4" t="n">
        <v>24</v>
      </c>
      <c r="G12" s="8" t="n">
        <v>31666.67</v>
      </c>
      <c r="H12" s="8" t="n">
        <v>760000.08</v>
      </c>
      <c r="I12" s="8" t="n">
        <v>63333.34</v>
      </c>
      <c r="J12" s="8" t="n">
        <v>31666.67</v>
      </c>
      <c r="K12" s="8" t="n">
        <v>-31666.67</v>
      </c>
      <c r="L12" s="8" t="n">
        <v>728333.41</v>
      </c>
      <c r="M12" s="4" t="n">
        <v>0</v>
      </c>
      <c r="N12" s="4" t="inlineStr">
        <is>
          <t>Current</t>
        </is>
      </c>
      <c r="O12" s="4" t="n">
        <v>2</v>
      </c>
    </row>
    <row r="13">
      <c r="A13" s="4" t="inlineStr">
        <is>
          <t>L1011</t>
        </is>
      </c>
      <c r="B13" s="4" t="inlineStr">
        <is>
          <t>Metro Farms</t>
        </is>
      </c>
      <c r="C13" s="4" t="inlineStr">
        <is>
          <t>Logistics</t>
        </is>
      </c>
      <c r="D13" s="4" t="inlineStr">
        <is>
          <t>2026-01-23</t>
        </is>
      </c>
      <c r="E13" s="8" t="n">
        <v>1000000</v>
      </c>
      <c r="F13" s="4" t="n">
        <v>24</v>
      </c>
      <c r="G13" s="8" t="n">
        <v>66666.67</v>
      </c>
      <c r="H13" s="8" t="n">
        <v>1600000.08</v>
      </c>
      <c r="I13" s="8" t="n">
        <v>333333.35</v>
      </c>
      <c r="J13" s="8" t="n">
        <v>66666.67</v>
      </c>
      <c r="K13" s="8" t="n">
        <v>-266666.68</v>
      </c>
      <c r="L13" s="8" t="n">
        <v>1533333.41</v>
      </c>
      <c r="M13" s="4" t="n">
        <v>70</v>
      </c>
      <c r="N13" s="4" t="inlineStr">
        <is>
          <t>31-90 dpd</t>
        </is>
      </c>
      <c r="O13" s="4" t="n">
        <v>5</v>
      </c>
    </row>
    <row r="14">
      <c r="A14" s="4" t="inlineStr">
        <is>
          <t>L1012</t>
        </is>
      </c>
      <c r="B14" s="4" t="inlineStr">
        <is>
          <t>Summit Services</t>
        </is>
      </c>
      <c r="C14" s="4" t="inlineStr">
        <is>
          <t>Retail</t>
        </is>
      </c>
      <c r="D14" s="4" t="inlineStr">
        <is>
          <t>2025-04-19</t>
        </is>
      </c>
      <c r="E14" s="8" t="n">
        <v>1500000</v>
      </c>
      <c r="F14" s="4" t="n">
        <v>6</v>
      </c>
      <c r="G14" s="8" t="n">
        <v>287500</v>
      </c>
      <c r="H14" s="8" t="n">
        <v>1725000</v>
      </c>
      <c r="I14" s="8" t="n">
        <v>1725000</v>
      </c>
      <c r="J14" s="8" t="n">
        <v>862500</v>
      </c>
      <c r="K14" s="8" t="n">
        <v>-862500</v>
      </c>
      <c r="L14" s="8" t="n">
        <v>862500</v>
      </c>
      <c r="M14" s="4" t="n">
        <v>286</v>
      </c>
      <c r="N14" s="4" t="inlineStr">
  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tr">
        <is>
          <t>Pioneer Logistics</t>
        </is>
      </c>
      <c r="C15" s="4" t="inlineStr">
        <is>
          <t>Technology</t>
        </is>
      </c>
      <c r="D15" s="4" t="inlineStr">
        <is>
          <t>2026-02-22</t>
        </is>
      </c>
      <c r="E15" s="8" t="n">
        <v>2000000</v>
      </c>
      <c r="F15" s="4" t="n">
        <v>18</v>
      </c>
      <c r="G15" s="8" t="n">
        <v>147777.78</v>
      </c>
      <c r="H15" s="8" t="n">
        <v>2660000.04</v>
      </c>
      <c r="I15" s="8" t="n">
        <v>591111.12</v>
      </c>
      <c r="J15" s="8" t="n">
        <v>443333.34</v>
      </c>
      <c r="K15" s="8" t="n">
        <v>-147777.78</v>
      </c>
      <c r="L15" s="8" t="n">
        <v>2216666.7</v>
      </c>
      <c r="M15" s="4" t="n">
        <v>0</v>
      </c>
      <c r="N15" s="4" t="inlineStr">
        <is>
          <t>Current</t>
        </is>
      </c>
      <c r="O15" s="4" t="n">
        <v>4</v>
      </c>
    </row>
    <row r="16">
      <c r="A16" s="4" t="inlineStr">
        <is>
          <t>L1014</t>
        </is>
      </c>
      <c r="B16" s="4" t="inlineStr">
        <is>
          <t>Prime Foods</t>
        </is>
      </c>
      <c r="C16" s="4" t="inlineStr">
        <is>
          <t>Food &amp; Beverage</t>
        </is>
      </c>
      <c r="D16" s="4" t="inlineStr">
        <is>
          <t>2025-10-13</t>
        </is>
      </c>
      <c r="E16" s="8" t="n">
        <v>1000000</v>
      </c>
      <c r="F16" s="4" t="n">
        <v>12</v>
      </c>
      <c r="G16" s="8" t="n">
        <v>98333.33</v>
      </c>
      <c r="H16" s="8" t="n">
        <v>1179999.96</v>
      </c>
      <c r="I16" s="8" t="n">
        <v>786666.64</v>
      </c>
      <c r="J16" s="8" t="n">
        <v>688333.3100000001</v>
      </c>
      <c r="K16" s="8" t="n">
        <v>-98333.33</v>
      </c>
      <c r="L16" s="8" t="n">
        <v>491666.65</v>
      </c>
      <c r="M16" s="4" t="n">
        <v>0</v>
      </c>
      <c r="N16" s="4" t="inlineStr">
        <is>
          <t>Current</t>
        </is>
      </c>
      <c r="O16" s="4" t="n">
        <v>8</v>
      </c>
    </row>
    <row r="17">
      <c r="A17" s="4" t="inlineStr">
        <is>
          <t>L1015</t>
        </is>
      </c>
      <c r="B17" s="4" t="inlineStr">
        <is>
          <t>Apex Stores</t>
        </is>
      </c>
      <c r="C17" s="4" t="inlineStr">
        <is>
          <t>Technology</t>
        </is>
      </c>
      <c r="D17" s="4" t="inlineStr">
        <is>
          <t>2025-07-19</t>
        </is>
      </c>
      <c r="E17" s="8" t="n">
        <v>1500000</v>
      </c>
      <c r="F17" s="4" t="n">
        <v>12</v>
      </c>
      <c r="G17" s="8" t="n">
        <v>162500</v>
      </c>
      <c r="H17" s="8" t="n">
        <v>1950000</v>
      </c>
      <c r="I17" s="8" t="n">
        <v>1787500</v>
      </c>
      <c r="J17" s="8" t="n">
        <v>487500</v>
      </c>
      <c r="K17" s="8" t="n">
        <v>-1300000</v>
      </c>
      <c r="L17" s="8" t="n">
        <v>1462500</v>
      </c>
      <c r="M17" s="4" t="n">
        <v>194</v>
      </c>
      <c r="N17" s="4" t="inlineStr">
        <is>
          <t>90+ dpd</t>
        </is>
      </c>
      <c r="O17" s="4" t="n">
        <v>11</v>
      </c>
    </row>
    <row r="18">
      <c r="A18" s="4" t="inlineStr">
        <is>
          <t>L1016</t>
        </is>
      </c>
      <c r="B18" s="4" t="inlineStr">
        <is>
          <t>Apex Services</t>
        </is>
      </c>
      <c r="C18" s="4" t="inlineStr">
        <is>
          <t>Fashion</t>
        </is>
      </c>
      <c r="D18" s="4" t="inlineStr">
        <is>
          <t>2025-10-18</t>
        </is>
      </c>
      <c r="E18" s="8" t="n">
        <v>1000000</v>
      </c>
      <c r="F18" s="4" t="n">
        <v>12</v>
      </c>
      <c r="G18" s="8" t="n">
        <v>98333.33</v>
      </c>
      <c r="H18" s="8" t="n">
        <v>1179999.96</v>
      </c>
      <c r="I18" s="8" t="n">
        <v>786666.64</v>
      </c>
      <c r="J18" s="8" t="n">
        <v>688333.3100000001</v>
      </c>
      <c r="K18" s="8" t="n">
        <v>-98333.33</v>
      </c>
      <c r="L18" s="8" t="n">
        <v>491666.65</v>
      </c>
      <c r="M18" s="4" t="n">
        <v>0</v>
      </c>
      <c r="N18" s="4" t="inlineStr">
        <is>
          <t>Current</t>
        </is>
      </c>
      <c r="O18" s="4" t="n">
        <v>8</v>
      </c>
    </row>
    <row r="19">
      <c r="A19" s="4" t="inlineStr">
        <is>
          <t>L1017</t>
        </is>
      </c>
      <c r="B19" s="4" t="inlineStr">
        <is>
          <t>Harvest Logistics</t>
        </is>
      </c>
      <c r="C19" s="4" t="inlineStr">
        <is>
          <t>Agriculture</t>
        </is>
      </c>
      <c r="D19" s="4" t="inlineStr">
        <is>
          <t>2025-10-01</t>
        </is>
      </c>
      <c r="E19" s="8" t="n">
        <v>750000</v>
      </c>
      <c r="F19" s="4" t="n">
        <v>12</v>
      </c>
      <c r="G19" s="8" t="n">
        <v>81250</v>
      </c>
      <c r="H19" s="8" t="n">
        <v>975000</v>
      </c>
      <c r="I19" s="8" t="n">
        <v>650000</v>
      </c>
      <c r="J19" s="8" t="n">
        <v>406250</v>
      </c>
      <c r="K19" s="8" t="n">
        <v>-243750</v>
      </c>
      <c r="L19" s="8" t="n">
        <v>568750</v>
      </c>
      <c r="M19" s="4" t="n">
        <v>61</v>
      </c>
      <c r="N19" s="4" t="inlineStr">
        <is>
          <t>31-90 dpd</t>
        </is>
      </c>
      <c r="O19" s="4" t="n">
        <v>8</v>
      </c>
    </row>
    <row r="20">
      <c r="A20" s="4" t="inlineStr">
        <is>
          <t>L1018</t>
        </is>
      </c>
      <c r="B20" s="4" t="inlineStr">
        <is>
          <t>Bright Farms</t>
        </is>
      </c>
      <c r="C20" s="4" t="inlineStr">
        <is>
          <t>Logistics</t>
        </is>
      </c>
      <c r="D20" s="4" t="inlineStr">
        <is>
          <t>2026-05-24</t>
        </is>
      </c>
      <c r="E20" s="8" t="n">
        <v>250000</v>
      </c>
      <c r="F20" s="4" t="n">
        <v>9</v>
      </c>
      <c r="G20" s="8" t="n">
        <v>34027.78</v>
      </c>
      <c r="H20" s="8" t="n">
        <v>306250.02</v>
      </c>
      <c r="I20" s="8" t="n">
        <v>34027.78</v>
      </c>
      <c r="J20" s="8" t="n">
        <v>0</v>
      </c>
      <c r="K20" s="8" t="n">
        <v>-34027.78</v>
      </c>
      <c r="L20" s="8" t="n">
        <v>306250.02</v>
      </c>
      <c r="M20" s="4" t="n">
        <v>0</v>
      </c>
      <c r="N20" s="4" t="inlineStr">
        <is>
          <t>Current</t>
        </is>
      </c>
      <c r="O20" s="4" t="n">
        <v>1</v>
      </c>
    </row>
    <row r="21">
      <c r="A21" s="4" t="inlineStr">
        <is>
          <t>L1019</t>
        </is>
      </c>
      <c r="B21" s="4" t="inlineStr">
        <is>
          <t>Apex Supplies</t>
        </is>
      </c>
      <c r="C21" s="4" t="inlineStr">
        <is>
          <t>Technology</t>
        </is>
      </c>
      <c r="D21" s="4" t="inlineStr">
        <is>
          <t>2026-04-08</t>
        </is>
      </c>
      <c r="E21" s="8" t="n">
        <v>1000000</v>
      </c>
      <c r="F21" s="4" t="n">
        <v>18</v>
      </c>
      <c r="G21" s="8" t="n">
        <v>70555.56</v>
      </c>
      <c r="H21" s="8" t="n">
        <v>1270000.08</v>
      </c>
      <c r="I21" s="8" t="n">
        <v>141111.12</v>
      </c>
      <c r="J21" s="8" t="n">
        <v>70555.56</v>
      </c>
      <c r="K21" s="8" t="n">
        <v>-70555.56</v>
      </c>
      <c r="L21" s="8" t="n">
        <v>1199444.52</v>
      </c>
      <c r="M21" s="4" t="n">
        <v>0</v>
      </c>
      <c r="N21" s="4" t="inlineStr">
        <is>
          <t>Current</t>
        </is>
      </c>
      <c r="O21" s="4" t="n">
        <v>2</v>
      </c>
    </row>
    <row r="22">
      <c r="A22" s="4" t="inlineStr">
        <is>
          <t>L1020</t>
        </is>
      </c>
      <c r="B22" s="4" t="inlineStr">
        <is>
          <t>Sterling Logistics</t>
        </is>
      </c>
      <c r="C22" s="4" t="inlineStr">
        <is>
          <t>Food &amp; Beverage</t>
        </is>
      </c>
      <c r="D22" s="4" t="inlineStr">
        <is>
          <t>2026-05-18</t>
        </is>
      </c>
      <c r="E22" s="8" t="n">
        <v>750000</v>
      </c>
      <c r="F22" s="4" t="n">
        <v>12</v>
      </c>
      <c r="G22" s="8" t="n">
        <v>76250</v>
      </c>
      <c r="H22" s="8" t="n">
        <v>915000</v>
      </c>
      <c r="I22" s="8" t="n">
        <v>76250</v>
      </c>
      <c r="J22" s="8" t="n">
        <v>0</v>
      </c>
      <c r="K22" s="8" t="n">
        <v>-76250</v>
      </c>
      <c r="L22" s="8" t="n">
        <v>915000</v>
      </c>
      <c r="M22" s="4" t="n">
        <v>0</v>
      </c>
      <c r="N22" s="4" t="inlineStr">
        <is>
          <t>Current</t>
        </is>
      </c>
      <c r="O22" s="4" t="n">
        <v>1</v>
      </c>
    </row>
    <row r="23">
      <c r="A23" s="4" t="inlineStr">
        <is>
          <t>L1021</t>
        </is>
      </c>
      <c r="B23" s="4" t="inlineStr">
        <is>
          <t>Crown Enterprises</t>
        </is>
      </c>
      <c r="C23" s="4" t="inlineStr">
        <is>
          <t>Agriculture</t>
        </is>
      </c>
      <c r="D23" s="4" t="inlineStr">
        <is>
          <t>2025-06-01</t>
        </is>
      </c>
      <c r="E23" s="8" t="n">
        <v>250000</v>
      </c>
      <c r="F23" s="4" t="n">
        <v>6</v>
      </c>
      <c r="G23" s="8" t="n">
        <v>47916.67</v>
      </c>
      <c r="H23" s="8" t="n">
        <v>287500.02</v>
      </c>
      <c r="I23" s="8" t="n">
        <v>287500.02</v>
      </c>
      <c r="J23" s="8" t="n">
        <v>287500.02</v>
      </c>
      <c r="K23" s="8" t="n">
        <v>0</v>
      </c>
      <c r="L23" s="8" t="n">
        <v>0</v>
      </c>
      <c r="M23" s="4" t="n">
        <v>0</v>
      </c>
      <c r="N23" s="4" t="inlineStr">
        <is>
          <t>Current</t>
        </is>
      </c>
      <c r="O23" s="4" t="n">
        <v>12</v>
      </c>
    </row>
    <row r="24">
      <c r="A24" s="4" t="inlineStr">
        <is>
          <t>L1022</t>
        </is>
      </c>
      <c r="B24" s="4" t="inlineStr">
        <is>
          <t>Summit Traders</t>
        </is>
      </c>
      <c r="C24" s="4" t="inlineStr">
        <is>
          <t>Construction</t>
        </is>
      </c>
      <c r="D24" s="4" t="inlineStr">
        <is>
          <t>2025-12-05</t>
        </is>
      </c>
      <c r="E24" s="8" t="n">
        <v>3000000</v>
      </c>
      <c r="F24" s="4" t="n">
        <v>12</v>
      </c>
      <c r="G24" s="8" t="n">
        <v>325000</v>
      </c>
      <c r="H24" s="8" t="n">
        <v>3900000</v>
      </c>
      <c r="I24" s="8" t="n">
        <v>1950000</v>
      </c>
      <c r="J24" s="8" t="n">
        <v>975000</v>
      </c>
      <c r="K24" s="8" t="n">
        <v>-975000</v>
      </c>
      <c r="L24" s="8" t="n">
        <v>2925000</v>
      </c>
      <c r="M24" s="4" t="n">
        <v>57</v>
      </c>
      <c r="N24" s="4" t="inlineStr">
        <is>
          <t>31-90 dpd</t>
        </is>
      </c>
      <c r="O24" s="4" t="n">
        <v>6</v>
      </c>
    </row>
    <row r="25">
      <c r="A25" s="4" t="inlineStr">
        <is>
          <t>L1023</t>
        </is>
      </c>
      <c r="B25" s="4" t="inlineStr">
        <is>
          <t>Coastal Enterprises</t>
        </is>
      </c>
      <c r="C25" s="4" t="inlineStr">
        <is>
          <t>Construction</t>
        </is>
      </c>
      <c r="D25" s="4" t="inlineStr">
        <is>
          <t>2025-08-13</t>
        </is>
      </c>
      <c r="E25" s="8" t="n">
        <v>500000</v>
      </c>
      <c r="F25" s="4" t="n">
        <v>9</v>
      </c>
      <c r="G25" s="8" t="n">
        <v>63055.56</v>
      </c>
      <c r="H25" s="8" t="n">
        <v>567500.04</v>
      </c>
      <c r="I25" s="8" t="n">
        <v>567500.04</v>
      </c>
      <c r="J25" s="8" t="n">
        <v>504444.48</v>
      </c>
      <c r="K25" s="8" t="n">
        <v>-63055.56</v>
      </c>
      <c r="L25" s="8" t="n">
        <v>63055.56</v>
      </c>
      <c r="M25" s="4" t="n">
        <v>19</v>
      </c>
      <c r="N25" s="4" t="inlineStr">
        <is>
          <t>1-30 dpd</t>
        </is>
      </c>
      <c r="O25" s="4" t="n">
        <v>10</v>
      </c>
    </row>
    <row r="26">
      <c r="A26" s="4" t="inlineStr">
        <is>
          <t>L1024</t>
        </is>
      </c>
      <c r="B26" s="4" t="inlineStr">
        <is>
          <t>Prime Holdings</t>
        </is>
      </c>
      <c r="C26" s="4" t="inlineStr">
        <is>
          <t>Manufacturing</t>
        </is>
      </c>
      <c r="D26" s="4" t="inlineStr">
        <is>
          <t>2025-10-10</t>
        </is>
      </c>
      <c r="E26" s="8" t="n">
        <v>3000000</v>
      </c>
      <c r="F26" s="4" t="n">
        <v>6</v>
      </c>
      <c r="G26" s="8" t="n">
        <v>555000</v>
      </c>
      <c r="H26" s="8" t="n">
        <v>3330000</v>
      </c>
      <c r="I26" s="8" t="n">
        <v>3330000</v>
      </c>
      <c r="J26" s="8" t="n">
        <v>3330000</v>
      </c>
      <c r="K26" s="8" t="n">
        <v>0</v>
      </c>
      <c r="L26" s="8" t="n">
        <v>0</v>
      </c>
      <c r="M26" s="4" t="n">
        <v>0</v>
      </c>
      <c r="N26" s="4" t="inlineStr">
        <is>
          <t>Current</t>
        </is>
      </c>
      <c r="O26" s="4" t="n">
        <v>8</v>
      </c>
    </row>
    <row r="27">
      <c r="A27" s="4" t="inlineStr">
        <is>
          <t>L1025</t>
        </is>
      </c>
      <c r="B27" s="4" t="inlineStr">
        <is>
          <t>Harvest Services</t>
        </is>
      </c>
      <c r="C27" s="4" t="inlineStr">
        <is>
          <t>Manufacturing</t>
        </is>
      </c>
      <c r="D27" s="4" t="inlineStr">
        <is>
          <t>2025-06-25</t>
        </is>
      </c>
      <c r="E27" s="8" t="n">
        <v>1000000</v>
      </c>
      <c r="F27" s="4" t="n">
        <v>18</v>
      </c>
      <c r="G27" s="8" t="n">
        <v>73888.89</v>
      </c>
      <c r="H27" s="8" t="n">
        <v>1330000.02</v>
      </c>
      <c r="I27" s="8" t="n">
        <v>886666.6800000001</v>
      </c>
      <c r="J27" s="8" t="n">
        <v>443333.34</v>
      </c>
      <c r="K27" s="8" t="n">
        <v>-443333.34</v>
      </c>
      <c r="L27" s="8" t="n">
        <v>886666.6800000001</v>
      </c>
      <c r="M27" s="4" t="n">
        <v>127</v>
      </c>
      <c r="N27" s="4" t="inlineStr">
        <is>
          <t>90+ dpd</t>
        </is>
      </c>
      <c r="O27" s="4" t="n">
        <v>12</v>
      </c>
    </row>
    <row r="28">
      <c r="A28" s="4" t="inlineStr">
        <is>
          <t>L1026</t>
        </is>
      </c>
      <c r="B28" s="4" t="inlineStr">
        <is>
          <t>Unity Enterprises</t>
        </is>
      </c>
      <c r="C28" s="4" t="inlineStr">
        <is>
          <t>Logistics</t>
        </is>
      </c>
      <c r="D28" s="4" t="inlineStr">
        <is>
          <t>2025-04-22</t>
        </is>
      </c>
      <c r="E28" s="8" t="n">
        <v>500000</v>
      </c>
      <c r="F28" s="4" t="n">
        <v>18</v>
      </c>
      <c r="G28" s="8" t="n">
        <v>40277.78</v>
      </c>
      <c r="H28" s="8" t="n">
        <v>725000.04</v>
      </c>
      <c r="I28" s="8" t="n">
        <v>563888.92</v>
      </c>
      <c r="J28" s="8" t="n">
        <v>443055.58</v>
      </c>
      <c r="K28" s="8" t="n">
        <v>-120833.34</v>
      </c>
      <c r="L28" s="8" t="n">
        <v>281944.46</v>
      </c>
      <c r="M28" s="4" t="n">
        <v>40</v>
      </c>
      <c r="N28" s="4" t="inlineStr">
        <is>
          <t>31-90 dpd</t>
        </is>
      </c>
      <c r="O28" s="4" t="n">
        <v>14</v>
      </c>
    </row>
    <row r="29">
      <c r="A29" s="4" t="inlineStr">
        <is>
          <t>L1027</t>
        </is>
      </c>
      <c r="B29" s="4" t="inlineStr">
        <is>
          <t>Unity Enterprises</t>
        </is>
      </c>
      <c r="C29" s="4" t="inlineStr">
        <is>
          <t>Logistics</t>
        </is>
      </c>
      <c r="D29" s="4" t="inlineStr">
        <is>
          <t>2025-01-03</t>
        </is>
      </c>
      <c r="E29" s="8" t="n">
        <v>1000000</v>
      </c>
      <c r="F29" s="4" t="n">
        <v>24</v>
      </c>
      <c r="G29" s="8" t="n">
        <v>56666.67</v>
      </c>
      <c r="H29" s="8" t="n">
        <v>1360000.08</v>
      </c>
      <c r="I29" s="8" t="n">
        <v>963333.39</v>
      </c>
      <c r="J29" s="8" t="n">
        <v>906666.72</v>
      </c>
      <c r="K29" s="8" t="n">
        <v>-56666.67</v>
      </c>
      <c r="L29" s="8" t="n">
        <v>453333.36</v>
      </c>
      <c r="M29" s="4" t="n">
        <v>0</v>
      </c>
      <c r="N29" s="4" t="inlineStr">
        <is>
          <t>Current</t>
        </is>
      </c>
      <c r="O29" s="4" t="n">
        <v>17</v>
      </c>
    </row>
    <row r="30">
      <c r="A30" s="4" t="inlineStr">
        <is>
          <t>L1028</t>
        </is>
      </c>
      <c r="B30" s="4" t="inlineStr">
        <is>
          <t>Summit Traders</t>
        </is>
      </c>
      <c r="C30" s="4" t="inlineStr">
        <is>
          <t>Education</t>
        </is>
      </c>
      <c r="D30" s="4" t="inlineStr">
        <is>
          <t>2025-12-09</t>
        </is>
      </c>
      <c r="E30" s="8" t="n">
        <v>2000000</v>
      </c>
      <c r="F30" s="4" t="n">
        <v>12</v>
      </c>
      <c r="G30" s="8" t="n">
        <v>210000</v>
      </c>
      <c r="H30" s="8" t="n">
        <v>2520000</v>
      </c>
      <c r="I30" s="8" t="n">
        <v>1260000</v>
      </c>
      <c r="J30" s="8" t="n">
        <v>1050000</v>
      </c>
      <c r="K30" s="8" t="n">
        <v>-210000</v>
      </c>
      <c r="L30" s="8" t="n">
        <v>1470000</v>
      </c>
      <c r="M30" s="4" t="n">
        <v>0</v>
      </c>
      <c r="N30" s="4" t="inlineStr">
        <is>
          <t>Current</t>
        </is>
      </c>
      <c r="O30" s="4" t="n">
        <v>6</v>
      </c>
    </row>
    <row r="31">
      <c r="A31" s="4" t="inlineStr">
        <is>
          <t>L1029</t>
        </is>
      </c>
      <c r="B31" s="4" t="inlineStr">
        <is>
          <t>Unity Logistics</t>
        </is>
      </c>
      <c r="C31" s="4" t="inlineStr">
        <is>
          <t>Construction</t>
        </is>
      </c>
      <c r="D31" s="4" t="inlineStr">
        <is>
          <t>2024-12-21</t>
        </is>
      </c>
      <c r="E31" s="8" t="n">
        <v>1000000</v>
      </c>
      <c r="F31" s="4" t="n">
        <v>18</v>
      </c>
      <c r="G31" s="8" t="n">
        <v>77222.22</v>
      </c>
      <c r="H31" s="8" t="n">
        <v>1389999.96</v>
      </c>
      <c r="I31" s="8" t="n">
        <v>1389999.96</v>
      </c>
      <c r="J31" s="8" t="n">
        <v>1158333.3</v>
      </c>
      <c r="K31" s="8" t="n">
        <v>-231666.66</v>
      </c>
      <c r="L31" s="8" t="n">
        <v>231666.66</v>
      </c>
      <c r="M31" s="4" t="n">
        <v>41</v>
      </c>
      <c r="N31" s="4" t="inlineStr">
        <is>
          <t>31-90 dpd</t>
        </is>
      </c>
      <c r="O31" s="4" t="n">
        <v>18</v>
      </c>
    </row>
    <row r="32">
      <c r="A32" s="4" t="inlineStr">
        <is>
          <t>L1030</t>
        </is>
      </c>
      <c r="B32" s="4" t="inlineStr">
        <is>
          <t>Prime Services</t>
        </is>
      </c>
      <c r="C32" s="4" t="inlineStr">
        <is>
          <t>Agriculture</t>
        </is>
      </c>
      <c r="D32" s="4" t="inlineStr">
        <is>
          <t>2025-02-16</t>
        </is>
      </c>
      <c r="E32" s="8" t="n">
        <v>250000</v>
      </c>
      <c r="F32" s="4" t="n">
        <v>18</v>
      </c>
      <c r="G32" s="8" t="n">
        <v>19305.56</v>
      </c>
      <c r="H32" s="8" t="n">
        <v>347500.08</v>
      </c>
      <c r="I32" s="8" t="n">
        <v>308888.96</v>
      </c>
      <c r="J32" s="8" t="n">
        <v>96527.8</v>
      </c>
      <c r="K32" s="8" t="n">
        <v>-212361.16</v>
      </c>
      <c r="L32" s="8" t="n">
        <v>250972.28</v>
      </c>
      <c r="M32" s="4" t="n">
        <v>289</v>
      </c>
      <c r="N32" s="4" t="inlineStr">
        <is>
          <t>90+ dpd</t>
        </is>
      </c>
      <c r="O32" s="4" t="n">
        <v>16</v>
      </c>
    </row>
    <row r="33">
      <c r="A33" s="4" t="inlineStr">
        <is>
          <t>L1031</t>
        </is>
      </c>
      <c r="B33" s="4" t="inlineStr">
        <is>
          <t>Coastal Group</t>
        </is>
      </c>
      <c r="C33" s="4" t="inlineStr">
        <is>
          <t>Food &amp; Beverage</t>
        </is>
      </c>
      <c r="D33" s="4" t="inlineStr">
        <is>
          <t>2026-02-02</t>
        </is>
      </c>
      <c r="E33" s="8" t="n">
        <v>500000</v>
      </c>
      <c r="F33" s="4" t="n">
        <v>12</v>
      </c>
      <c r="G33" s="8" t="n">
        <v>49166.67</v>
      </c>
      <c r="H33" s="8" t="n">
        <v>590000.04</v>
      </c>
      <c r="I33" s="8" t="n">
        <v>196666.68</v>
      </c>
      <c r="J33" s="8" t="n">
        <v>147500.01</v>
      </c>
      <c r="K33" s="8" t="n">
        <v>-49166.67</v>
      </c>
      <c r="L33" s="8" t="n">
        <v>442500.03</v>
      </c>
      <c r="M33" s="4" t="n">
        <v>0</v>
      </c>
      <c r="N33" s="4" t="inlineStr">
        <is>
          <t>Current</t>
        </is>
      </c>
      <c r="O33" s="4" t="n">
        <v>4</v>
      </c>
    </row>
    <row r="34">
      <c r="A34" s="4" t="inlineStr">
        <is>
          <t>L1032</t>
        </is>
      </c>
      <c r="B34" s="4" t="inlineStr">
        <is>
          <t>Summit Logistics</t>
        </is>
      </c>
      <c r="C34" s="4" t="inlineStr">
        <is>
          <t>Manufacturing</t>
        </is>
      </c>
      <c r="D34" s="4" t="inlineStr">
        <is>
          <t>2025-12-03</t>
        </is>
      </c>
      <c r="E34" s="8" t="n">
        <v>500000</v>
      </c>
      <c r="F34" s="4" t="n">
        <v>12</v>
      </c>
      <c r="G34" s="8" t="n">
        <v>54166.67</v>
      </c>
      <c r="H34" s="8" t="n">
        <v>650000.04</v>
      </c>
      <c r="I34" s="8" t="n">
        <v>325000.02</v>
      </c>
      <c r="J34" s="8" t="n">
        <v>270833.35</v>
      </c>
      <c r="K34" s="8" t="n">
        <v>-54166.67</v>
      </c>
      <c r="L34" s="8" t="n">
        <v>379166.69</v>
      </c>
      <c r="M34" s="4" t="n">
        <v>0</v>
      </c>
      <c r="N34" s="4" t="inlineStr">
        <is>
          <t>Current</t>
        </is>
      </c>
      <c r="O34" s="4" t="n">
        <v>6</v>
      </c>
    </row>
    <row r="35">
      <c r="A35" s="4" t="inlineStr">
        <is>
          <t>L1033</t>
        </is>
      </c>
      <c r="B35" s="4" t="inlineStr">
        <is>
          <t>Verde Logistics</t>
        </is>
      </c>
      <c r="C35" s="4" t="inlineStr">
        <is>
          <t>Retail</t>
        </is>
      </c>
      <c r="D35" s="4" t="inlineStr">
        <is>
          <t>2026-05-16</t>
        </is>
      </c>
      <c r="E35" s="8" t="n">
        <v>1000000</v>
      </c>
      <c r="F35" s="4" t="n">
        <v>9</v>
      </c>
      <c r="G35" s="8" t="n">
        <v>132777.78</v>
      </c>
      <c r="H35" s="8" t="n">
        <v>1195000.02</v>
      </c>
      <c r="I35" s="8" t="n">
        <v>132777.78</v>
      </c>
      <c r="J35" s="8" t="n">
        <v>0</v>
      </c>
      <c r="K35" s="8" t="n">
        <v>-132777.78</v>
      </c>
      <c r="L35" s="8" t="n">
        <v>1195000.02</v>
      </c>
      <c r="M35" s="4" t="n">
        <v>0</v>
      </c>
      <c r="N35" s="4" t="inlineStr">
        <is>
          <t>Current</t>
        </is>
      </c>
      <c r="O35" s="4" t="n">
        <v>1</v>
      </c>
    </row>
    <row r="36">
      <c r="A36" s="4" t="inlineStr">
        <is>
          <t>L1034</t>
        </is>
      </c>
      <c r="B36" s="4" t="inlineStr">
        <is>
          <t>Crown Stores</t>
        </is>
      </c>
      <c r="C36" s="4" t="inlineStr">
        <is>
          <t>Retail</t>
        </is>
      </c>
      <c r="D36" s="4" t="inlineStr">
        <is>
          <t>2025-02-26</t>
        </is>
      </c>
      <c r="E36" s="8" t="n">
        <v>750000</v>
      </c>
      <c r="F36" s="4" t="n">
        <v>12</v>
      </c>
      <c r="G36" s="8" t="n">
        <v>76250</v>
      </c>
      <c r="H36" s="8" t="n">
        <v>915000</v>
      </c>
      <c r="I36" s="8" t="n">
        <v>915000</v>
      </c>
      <c r="J36" s="8" t="n">
        <v>953125</v>
      </c>
      <c r="K36" s="8" t="n">
        <v>38125</v>
      </c>
      <c r="L36" s="8" t="n">
        <v>0</v>
      </c>
      <c r="M36" s="4" t="n">
        <v>0</v>
      </c>
      <c r="N36" s="4" t="inlineStr">
        <is>
          <t>Current</t>
        </is>
      </c>
      <c r="O36" s="4" t="n">
        <v>16</v>
      </c>
    </row>
    <row r="37">
      <c r="A37" s="4" t="inlineStr">
        <is>
          <t>L1035</t>
        </is>
      </c>
      <c r="B37" s="4" t="inlineStr">
        <is>
          <t>Nova Ventures</t>
        </is>
      </c>
      <c r="C37" s="4" t="inlineStr">
        <is>
          <t>Health</t>
        </is>
      </c>
      <c r="D37" s="4" t="inlineStr">
        <is>
          <t>2025-04-14</t>
        </is>
      </c>
      <c r="E37" s="8" t="n">
        <v>1500000</v>
      </c>
      <c r="F37" s="4" t="n">
        <v>12</v>
      </c>
      <c r="G37" s="8" t="n">
        <v>152500</v>
      </c>
      <c r="H37" s="8" t="n">
        <v>1830000</v>
      </c>
      <c r="I37" s="8" t="n">
        <v>1830000</v>
      </c>
      <c r="J37" s="8" t="n">
        <v>610000</v>
      </c>
      <c r="K37" s="8" t="n">
        <v>-1220000</v>
      </c>
      <c r="L37" s="8" t="n">
        <v>1220000</v>
      </c>
      <c r="M37" s="4" t="n">
        <v>260</v>
      </c>
      <c r="N37" s="4" t="inlineStr">
        <is>
          <t>90+ dpd</t>
        </is>
      </c>
      <c r="O37" s="4" t="n">
        <v>14</v>
      </c>
    </row>
    <row r="38">
      <c r="A38" s="4" t="inlineStr">
        <is>
          <t>L1036</t>
        </is>
      </c>
      <c r="B38" s="4" t="inlineStr">
        <is>
          <t>Coastal Supplies</t>
        </is>
      </c>
      <c r="C38" s="4" t="inlineStr">
        <is>
          <t>Health</t>
        </is>
      </c>
      <c r="D38" s="4" t="inlineStr">
        <is>
          <t>2025-09-13</t>
        </is>
      </c>
      <c r="E38" s="8" t="n">
        <v>2000000</v>
      </c>
      <c r="F38" s="4" t="n">
        <v>9</v>
      </c>
      <c r="G38" s="8" t="n">
        <v>272222.22</v>
      </c>
      <c r="H38" s="8" t="n">
        <v>2449999.98</v>
      </c>
      <c r="I38" s="8" t="n">
        <v>2449999.98</v>
      </c>
      <c r="J38" s="8" t="n">
        <v>2177777.76</v>
      </c>
      <c r="K38" s="8" t="n">
        <v>-272222.22</v>
      </c>
      <c r="L38" s="8" t="n">
        <v>272222.22</v>
      </c>
      <c r="M38" s="4" t="n">
        <v>0</v>
      </c>
      <c r="N38" s="4" t="inlineStr">
        <is>
          <t>Current</t>
        </is>
      </c>
      <c r="O38" s="4" t="n">
        <v>9</v>
      </c>
    </row>
    <row r="39">
      <c r="A39" s="4" t="inlineStr">
        <is>
          <t>L1037</t>
        </is>
      </c>
      <c r="B39" s="4" t="inlineStr">
        <is>
          <t>Sterling Stores</t>
        </is>
      </c>
      <c r="C39" s="4" t="inlineStr">
        <is>
          <t>Education</t>
        </is>
      </c>
      <c r="D39" s="4" t="inlineStr">
        <is>
          <t>2026-03-12</t>
        </is>
      </c>
      <c r="E39" s="8" t="n">
        <v>500000</v>
      </c>
      <c r="F39" s="4" t="n">
        <v>6</v>
      </c>
      <c r="G39" s="8" t="n">
        <v>92500</v>
      </c>
      <c r="H39" s="8" t="n">
        <v>555000</v>
      </c>
      <c r="I39" s="8" t="n">
        <v>277500</v>
      </c>
      <c r="J39" s="8" t="n">
        <v>0</v>
      </c>
      <c r="K39" s="8" t="n">
        <v>-277500</v>
      </c>
      <c r="L39" s="8" t="n">
        <v>555000</v>
      </c>
      <c r="M39" s="4" t="n">
        <v>50</v>
      </c>
      <c r="N39" s="4" t="inlineStr">
        <is>
          <t>31-90 dpd</t>
        </is>
      </c>
      <c r="O39" s="4" t="n">
        <v>3</v>
      </c>
    </row>
    <row r="40">
      <c r="A40" s="4" t="inlineStr">
        <is>
          <t>L1038</t>
        </is>
      </c>
      <c r="B40" s="4" t="inlineStr">
        <is>
          <t>Prime Group</t>
        </is>
      </c>
      <c r="C40" s="4" t="inlineStr">
        <is>
          <t>Construction</t>
        </is>
      </c>
      <c r="D40" s="4" t="inlineStr">
        <is>
          <t>2025-09-04</t>
        </is>
      </c>
      <c r="E40" s="8" t="n">
        <v>750000</v>
      </c>
      <c r="F40" s="4" t="n">
        <v>12</v>
      </c>
      <c r="G40" s="8" t="n">
        <v>76250</v>
      </c>
      <c r="H40" s="8" t="n">
        <v>915000</v>
      </c>
      <c r="I40" s="8" t="n">
        <v>686250</v>
      </c>
      <c r="J40" s="8" t="n">
        <v>533750</v>
      </c>
      <c r="K40" s="8" t="n">
        <v>-152500</v>
      </c>
      <c r="L40" s="8" t="n">
        <v>381250</v>
      </c>
      <c r="M40" s="4" t="n">
        <v>28</v>
      </c>
      <c r="N40" s="4" t="inlineStr">
        <is>
          <t>1-30 dpd</t>
        </is>
      </c>
      <c r="O40" s="4" t="n">
        <v>9</v>
      </c>
    </row>
    <row r="41">
      <c r="A41" s="4" t="inlineStr">
        <is>
          <t>L1039</t>
        </is>
      </c>
      <c r="B41" s="4" t="inlineStr">
        <is>
          <t>Crown Works</t>
        </is>
      </c>
      <c r="C41" s="4" t="inlineStr">
        <is>
          <t>Technology</t>
        </is>
      </c>
      <c r="D41" s="4" t="inlineStr">
        <is>
          <t>2025-02-08</t>
        </is>
      </c>
      <c r="E41" s="8" t="n">
        <v>500000</v>
      </c>
      <c r="F41" s="4" t="n">
        <v>18</v>
      </c>
      <c r="G41" s="8" t="n">
        <v>38611.11</v>
      </c>
      <c r="H41" s="8" t="n">
        <v>694999.98</v>
      </c>
      <c r="I41" s="8" t="n">
        <v>617777.76</v>
      </c>
      <c r="J41" s="8" t="n">
        <v>579166.65</v>
      </c>
      <c r="K41" s="8" t="n">
        <v>-38611.11</v>
      </c>
      <c r="L41" s="8" t="n">
        <v>115833.33</v>
      </c>
      <c r="M41" s="4" t="n">
        <v>0</v>
      </c>
      <c r="N41" s="4" t="inlineStr">
        <is>
          <t>Current</t>
        </is>
      </c>
      <c r="O41" s="4" t="n">
        <v>16</v>
      </c>
    </row>
    <row r="42">
      <c r="A42" s="4" t="inlineStr">
        <is>
          <t>L1040</t>
        </is>
      </c>
      <c r="B42" s="4" t="inlineStr">
        <is>
          <t>Harvest Foods</t>
        </is>
      </c>
      <c r="C42" s="4" t="inlineStr">
        <is>
          <t>Retail</t>
        </is>
      </c>
      <c r="D42" s="4" t="inlineStr">
        <is>
          <t>2025-05-03</t>
        </is>
      </c>
      <c r="E42" s="8" t="n">
        <v>1500000</v>
      </c>
      <c r="F42" s="4" t="n">
        <v>24</v>
      </c>
      <c r="G42" s="8" t="n">
        <v>100000</v>
      </c>
      <c r="H42" s="8" t="n">
        <v>2400000</v>
      </c>
      <c r="I42" s="8" t="n">
        <v>1300000</v>
      </c>
      <c r="J42" s="8" t="n">
        <v>900000</v>
      </c>
      <c r="K42" s="8" t="n">
        <v>-400000</v>
      </c>
      <c r="L42" s="8" t="n">
        <v>1500000</v>
      </c>
      <c r="M42" s="4" t="n">
        <v>90</v>
      </c>
      <c r="N42" s="4" t="inlineStr">
        <is>
          <t>31-90 dpd</t>
        </is>
      </c>
      <c r="O42" s="4" t="n">
        <v>13</v>
      </c>
    </row>
    <row r="43">
      <c r="A43" s="4" t="inlineStr">
        <is>
          <t>L1041</t>
        </is>
      </c>
      <c r="B43" s="4" t="inlineStr">
        <is>
          <t>Sterling Traders</t>
        </is>
      </c>
      <c r="C43" s="4" t="inlineStr">
        <is>
          <t>Education</t>
        </is>
      </c>
      <c r="D43" s="4" t="inlineStr">
        <is>
          <t>2025-02-15</t>
        </is>
      </c>
      <c r="E43" s="8" t="n">
        <v>1000000</v>
      </c>
      <c r="F43" s="4" t="n">
        <v>9</v>
      </c>
      <c r="G43" s="8" t="n">
        <v>129444.44</v>
      </c>
      <c r="H43" s="8" t="n">
        <v>1164999.96</v>
      </c>
      <c r="I43" s="8" t="n">
        <v>1164999.96</v>
      </c>
      <c r="J43" s="8" t="n">
        <v>1164999.96</v>
      </c>
      <c r="K43" s="8" t="n">
        <v>0</v>
      </c>
      <c r="L43" s="8" t="n">
        <v>0</v>
      </c>
      <c r="M43" s="4" t="n">
        <v>0</v>
      </c>
      <c r="N43" s="4" t="inlineStr">
        <is>
          <t>Current</t>
        </is>
      </c>
      <c r="O43" s="4" t="n">
        <v>16</v>
      </c>
    </row>
    <row r="44">
      <c r="A44" s="4" t="inlineStr">
        <is>
          <t>L1042</t>
        </is>
      </c>
      <c r="B44" s="4" t="inlineStr">
        <is>
          <t>Coastal Group</t>
        </is>
      </c>
      <c r="C44" s="4" t="inlineStr">
        <is>
          <t>Health</t>
        </is>
      </c>
      <c r="D44" s="4" t="inlineStr">
        <is>
          <t>2026-05-09</t>
        </is>
      </c>
      <c r="E44" s="8" t="n">
        <v>500000</v>
      </c>
      <c r="F44" s="4" t="n">
        <v>24</v>
      </c>
      <c r="G44" s="8" t="n">
        <v>31666.67</v>
      </c>
      <c r="H44" s="8" t="n">
        <v>760000.08</v>
      </c>
      <c r="I44" s="8" t="n">
        <v>31666.67</v>
      </c>
      <c r="J44" s="8" t="n">
        <v>0</v>
      </c>
      <c r="K44" s="8" t="n">
        <v>-31666.67</v>
      </c>
      <c r="L44" s="8" t="n">
        <v>760000.08</v>
      </c>
      <c r="M44" s="4" t="n">
        <v>0</v>
      </c>
      <c r="N44" s="4" t="inlineStr">
        <is>
          <t>Current</t>
        </is>
      </c>
      <c r="O44" s="4" t="n">
        <v>1</v>
      </c>
    </row>
    <row r="45">
      <c r="A45" s="4" t="inlineStr">
        <is>
          <t>L1043</t>
        </is>
      </c>
      <c r="B45" s="4" t="inlineStr">
        <is>
          <t>Summit Supplies</t>
        </is>
      </c>
      <c r="C45" s="4" t="inlineStr">
        <is>
          <t>Retail</t>
        </is>
      </c>
      <c r="D45" s="4" t="inlineStr">
        <is>
          <t>2026-04-07</t>
        </is>
      </c>
      <c r="E45" s="8" t="n">
        <v>3000000</v>
      </c>
      <c r="F45" s="4" t="n">
        <v>24</v>
      </c>
      <c r="G45" s="8" t="n">
        <v>170000</v>
      </c>
      <c r="H45" s="8" t="n">
        <v>4080000</v>
      </c>
      <c r="I45" s="8" t="n">
        <v>340000</v>
      </c>
      <c r="J45" s="8" t="n">
        <v>170000</v>
      </c>
      <c r="K45" s="8" t="n">
        <v>-170000</v>
      </c>
      <c r="L45" s="8" t="n">
        <v>3910000</v>
      </c>
      <c r="M45" s="4" t="n">
        <v>0</v>
      </c>
      <c r="N45" s="4" t="inlineStr">
        <is>
          <t>Current</t>
        </is>
      </c>
      <c r="O45" s="4" t="n">
        <v>2</v>
      </c>
    </row>
    <row r="46">
      <c r="A46" s="4" t="inlineStr">
        <is>
          <t>L1044</t>
        </is>
      </c>
      <c r="B46" s="4" t="inlineStr">
        <is>
          <t>Lagoon Ventures</t>
        </is>
      </c>
      <c r="C46" s="4" t="inlineStr">
        <is>
          <t>Technology</t>
        </is>
      </c>
      <c r="D46" s="4" t="inlineStr">
        <is>
          <t>2025-05-12</t>
        </is>
      </c>
      <c r="E46" s="8" t="n">
        <v>3000000</v>
      </c>
      <c r="F46" s="4" t="n">
        <v>24</v>
      </c>
      <c r="G46" s="8" t="n">
        <v>170000</v>
      </c>
      <c r="H46" s="8" t="n">
        <v>4080000</v>
      </c>
      <c r="I46" s="8" t="n">
        <v>2210000</v>
      </c>
      <c r="J46" s="8" t="n">
        <v>680000</v>
      </c>
      <c r="K46" s="8" t="n">
        <v>-1530000</v>
      </c>
      <c r="L46" s="8" t="n">
        <v>3400000</v>
      </c>
      <c r="M46" s="4" t="n">
        <v>232</v>
      </c>
      <c r="N46" s="4" t="inlineStr">
        <is>
          <t>90+ dpd</t>
        </is>
      </c>
      <c r="O46" s="4" t="n">
        <v>13</v>
      </c>
    </row>
    <row r="47">
      <c r="A47" s="4" t="inlineStr">
        <is>
          <t>L1045</t>
        </is>
      </c>
      <c r="B47" s="4" t="inlineStr">
        <is>
          <t>Apex Traders</t>
        </is>
      </c>
      <c r="C47" s="4" t="inlineStr">
        <is>
          <t>Fashion</t>
        </is>
      </c>
      <c r="D47" s="4" t="inlineStr">
        <is>
          <t>2026-03-25</t>
        </is>
      </c>
      <c r="E47" s="8" t="n">
        <v>500000</v>
      </c>
      <c r="F47" s="4" t="n">
        <v>24</v>
      </c>
      <c r="G47" s="8" t="n">
        <v>28333.33</v>
      </c>
      <c r="H47" s="8" t="n">
        <v>679999.92</v>
      </c>
      <c r="I47" s="8" t="n">
        <v>84999.99000000001</v>
      </c>
      <c r="J47" s="8" t="n">
        <v>28333.33</v>
      </c>
      <c r="K47" s="8" t="n">
        <v>-56666.66</v>
      </c>
      <c r="L47" s="8" t="n">
        <v>651666.59</v>
      </c>
      <c r="M47" s="4" t="n">
        <v>7</v>
      </c>
      <c r="N47" s="4" t="inlineStr">
        <is>
          <t>1-30 dpd</t>
        </is>
      </c>
      <c r="O47" s="4" t="n">
        <v>3</v>
      </c>
    </row>
    <row r="48">
      <c r="A48" s="4" t="inlineStr">
        <is>
          <t>L1046</t>
        </is>
      </c>
      <c r="B48" s="4" t="inlineStr">
        <is>
          <t>Metro Farms</t>
        </is>
      </c>
      <c r="C48" s="4" t="inlineStr">
        <is>
          <t>Retail</t>
        </is>
      </c>
      <c r="D48" s="4" t="inlineStr">
        <is>
          <t>2024-12-21</t>
        </is>
      </c>
      <c r="E48" s="8" t="n">
        <v>750000</v>
      </c>
      <c r="F48" s="4" t="n">
        <v>18</v>
      </c>
      <c r="G48" s="8" t="n">
        <v>55416.67</v>
      </c>
      <c r="H48" s="8" t="n">
        <v>997500.0600000001</v>
      </c>
      <c r="I48" s="8" t="n">
        <v>997500.0600000001</v>
      </c>
      <c r="J48" s="8" t="n">
        <v>997500.0600000001</v>
      </c>
      <c r="K48" s="8" t="n">
        <v>0</v>
      </c>
      <c r="L48" s="8" t="n">
        <v>0</v>
      </c>
      <c r="M48" s="4" t="n">
        <v>0</v>
      </c>
      <c r="N48" s="4" t="inlineStr">
        <is>
          <t>Current</t>
        </is>
      </c>
      <c r="O48" s="4" t="n">
        <v>18</v>
      </c>
    </row>
    <row r="49">
      <c r="A49" s="4" t="inlineStr">
        <is>
          <t>L1047</t>
        </is>
      </c>
      <c r="B49" s="4" t="inlineStr">
        <is>
          <t>Nova Works</t>
        </is>
      </c>
      <c r="C49" s="4" t="inlineStr">
        <is>
          <t>Logistics</t>
        </is>
      </c>
      <c r="D49" s="4" t="inlineStr">
        <is>
          <t>2026-01-21</t>
        </is>
      </c>
      <c r="E49" s="8" t="n">
        <v>750000</v>
      </c>
      <c r="F49" s="4" t="n">
        <v>9</v>
      </c>
      <c r="G49" s="8" t="n">
        <v>94583.33</v>
      </c>
      <c r="H49" s="8" t="n">
        <v>851249.97</v>
      </c>
      <c r="I49" s="8" t="n">
        <v>472916.65</v>
      </c>
      <c r="J49" s="8" t="n">
        <v>378333.32</v>
      </c>
      <c r="K49" s="8" t="n">
        <v>-94583.33</v>
      </c>
      <c r="L49" s="8" t="n">
        <v>472916.65</v>
      </c>
      <c r="M49" s="4" t="n">
        <v>0</v>
      </c>
      <c r="N49" s="4" t="inlineStr">
        <is>
          <t>Current</t>
        </is>
      </c>
      <c r="O49" s="4" t="n">
        <v>5</v>
      </c>
    </row>
    <row r="50">
      <c r="A50" s="4" t="inlineStr">
        <is>
          <t>L1048</t>
        </is>
      </c>
      <c r="B50" s="4" t="inlineStr">
        <is>
          <t>Summit Enterprises</t>
        </is>
      </c>
      <c r="C50" s="4" t="inlineStr">
        <is>
          <t>Food &amp; Beverage</t>
        </is>
      </c>
      <c r="D50" s="4" t="inlineStr">
        <is>
          <t>2024-12-04</t>
        </is>
      </c>
      <c r="E50" s="8" t="n">
        <v>250000</v>
      </c>
      <c r="F50" s="4" t="n">
        <v>24</v>
      </c>
      <c r="G50" s="8" t="n">
        <v>16666.67</v>
      </c>
      <c r="H50" s="8" t="n">
        <v>400000.08</v>
      </c>
      <c r="I50" s="8" t="n">
        <v>300000.06</v>
      </c>
      <c r="J50" s="8" t="n">
        <v>100000.02</v>
      </c>
      <c r="K50" s="8" t="n">
        <v>-200000.04</v>
      </c>
      <c r="L50" s="8" t="n">
        <v>300000.06</v>
      </c>
      <c r="M50" s="4" t="n">
        <v>332</v>
      </c>
      <c r="N50" s="4" t="inlineStr">
        <is>
          <t>90+ dpd</t>
        </is>
      </c>
      <c r="O50" s="4" t="n">
        <v>18</v>
      </c>
    </row>
    <row r="51">
      <c r="A51" s="4" t="inlineStr">
        <is>
          <t>L1049</t>
        </is>
      </c>
      <c r="B51" s="4" t="inlineStr">
        <is>
          <t>Summit Logistics</t>
        </is>
      </c>
      <c r="C51" s="4" t="inlineStr">
        <is>
          <t>Fashion</t>
        </is>
      </c>
      <c r="D51" s="4" t="inlineStr">
        <is>
          <t>2025-06-17</t>
        </is>
      </c>
      <c r="E51" s="8" t="n">
        <v>2000000</v>
      </c>
      <c r="F51" s="4" t="n">
        <v>24</v>
      </c>
      <c r="G51" s="8" t="n">
        <v>113333.33</v>
      </c>
      <c r="H51" s="8" t="n">
        <v>2719999.92</v>
      </c>
      <c r="I51" s="8" t="n">
        <v>1359999.96</v>
      </c>
      <c r="J51" s="8" t="n">
        <v>1246666.63</v>
      </c>
      <c r="K51" s="8" t="n">
        <v>-113333.33</v>
      </c>
      <c r="L51" s="8" t="n">
        <v>1473333.29</v>
      </c>
      <c r="M51" s="4" t="n">
        <v>0</v>
      </c>
      <c r="N51" s="4" t="inlineStr">
        <is>
          <t>Current</t>
        </is>
      </c>
      <c r="O51" s="4" t="n">
        <v>12</v>
      </c>
    </row>
    <row r="52">
      <c r="A52" s="4" t="inlineStr">
        <is>
          <t>L1050</t>
        </is>
      </c>
      <c r="B52" s="4" t="inlineStr">
        <is>
          <t>Apex Traders</t>
        </is>
      </c>
      <c r="C52" s="4" t="inlineStr">
        <is>
          <t>Food &amp; Beverage</t>
        </is>
      </c>
      <c r="D52" s="4" t="inlineStr">
        <is>
          <t>2026-05-21</t>
        </is>
      </c>
      <c r="E52" s="8" t="n">
        <v>750000</v>
      </c>
      <c r="F52" s="4" t="n">
        <v>24</v>
      </c>
      <c r="G52" s="8" t="n">
        <v>45000</v>
      </c>
      <c r="H52" s="8" t="n">
        <v>1080000</v>
      </c>
      <c r="I52" s="8" t="n">
        <v>45000</v>
      </c>
      <c r="J52" s="8" t="n">
        <v>0</v>
      </c>
      <c r="K52" s="8" t="n">
        <v>-45000</v>
      </c>
      <c r="L52" s="8" t="n">
        <v>1080000</v>
      </c>
      <c r="M52" s="4" t="n">
        <v>0</v>
      </c>
      <c r="N52" s="4" t="inlineStr">
        <is>
          <t>Current</t>
        </is>
      </c>
      <c r="O52" s="4" t="n">
        <v>1</v>
      </c>
    </row>
    <row r="53">
      <c r="A53" s="4" t="inlineStr">
        <is>
          <t>L1051</t>
        </is>
      </c>
      <c r="B53" s="4" t="inlineStr">
        <is>
          <t>Prime Stores</t>
        </is>
      </c>
      <c r="C53" s="4" t="inlineStr">
        <is>
          <t>Construction</t>
        </is>
      </c>
      <c r="D53" s="4" t="inlineStr">
        <is>
          <t>2026-04-01</t>
        </is>
      </c>
      <c r="E53" s="8" t="n">
        <v>500000</v>
      </c>
      <c r="F53" s="4" t="n">
        <v>9</v>
      </c>
      <c r="G53" s="8" t="n">
        <v>64722.22</v>
      </c>
      <c r="H53" s="8" t="n">
        <v>582499.98</v>
      </c>
      <c r="I53" s="8" t="n">
        <v>129444.44</v>
      </c>
      <c r="J53" s="8" t="n">
        <v>0</v>
      </c>
      <c r="K53" s="8" t="n">
        <v>-129444.44</v>
      </c>
      <c r="L53" s="8" t="n">
        <v>582499.98</v>
      </c>
      <c r="M53" s="4" t="n">
        <v>31</v>
      </c>
      <c r="N53" s="4" t="inlineStr">
        <is>
          <t>31-90 dpd</t>
        </is>
      </c>
      <c r="O53" s="4" t="n">
        <v>2</v>
      </c>
    </row>
    <row r="54">
      <c r="A54" s="4" t="inlineStr">
        <is>
          <t>L1052</t>
        </is>
      </c>
      <c r="B54" s="4" t="inlineStr">
        <is>
          <t>Pioneer Services</t>
        </is>
      </c>
      <c r="C54" s="4" t="inlineStr">
        <is>
          <t>Health</t>
        </is>
      </c>
      <c r="D54" s="4" t="inlineStr">
        <is>
          <t>2026-05-04</t>
        </is>
      </c>
      <c r="E54" s="8" t="n">
        <v>750000</v>
      </c>
      <c r="F54" s="4" t="n">
        <v>12</v>
      </c>
      <c r="G54" s="8" t="n">
        <v>81250</v>
      </c>
      <c r="H54" s="8" t="n">
        <v>975000</v>
      </c>
      <c r="I54" s="8" t="n">
        <v>81250</v>
      </c>
      <c r="J54" s="8" t="n">
        <v>0</v>
      </c>
      <c r="K54" s="8" t="n">
        <v>-81250</v>
      </c>
      <c r="L54" s="8" t="n">
        <v>975000</v>
      </c>
      <c r="M54" s="4" t="n">
        <v>0</v>
      </c>
      <c r="N54" s="4" t="inlineStr">
        <is>
          <t>Current</t>
        </is>
      </c>
      <c r="O54" s="4" t="n">
        <v>1</v>
      </c>
    </row>
    <row r="55">
      <c r="A55" s="4" t="inlineStr">
        <is>
          <t>L1053</t>
        </is>
      </c>
      <c r="B55" s="4" t="inlineStr">
        <is>
          <t>Crown Ventures</t>
        </is>
      </c>
      <c r="C55" s="4" t="inlineStr">
        <is>
          <t>Technology</t>
        </is>
      </c>
      <c r="D55" s="4" t="inlineStr">
        <is>
          <t>2025-07-06</t>
        </is>
      </c>
      <c r="E55" s="8" t="n">
        <v>3000000</v>
      </c>
      <c r="F55" s="4" t="n">
        <v>24</v>
      </c>
      <c r="G55" s="8" t="n">
        <v>170000</v>
      </c>
      <c r="H55" s="8" t="n">
        <v>4080000</v>
      </c>
      <c r="I55" s="8" t="n">
        <v>1870000</v>
      </c>
      <c r="J55" s="8" t="n">
        <v>1700000</v>
      </c>
      <c r="K55" s="8" t="n">
        <v>-170000</v>
      </c>
      <c r="L55" s="8" t="n">
        <v>2380000</v>
      </c>
      <c r="M55" s="4" t="n">
        <v>0</v>
      </c>
      <c r="N55" s="4" t="inlineStr">
        <is>
          <t>Current</t>
        </is>
      </c>
      <c r="O55" s="4" t="n">
        <v>11</v>
      </c>
    </row>
    <row r="56">
      <c r="A56" s="4" t="inlineStr">
        <is>
          <t>L1054</t>
        </is>
      </c>
      <c r="B56" s="4" t="inlineStr">
        <is>
          <t>Lagoon Stores</t>
        </is>
      </c>
      <c r="C56" s="4" t="inlineStr">
        <is>
          <t>Fashion</t>
        </is>
      </c>
      <c r="D56" s="4" t="inlineStr">
        <is>
          <t>2026-02-04</t>
        </is>
      </c>
      <c r="E56" s="8" t="n">
        <v>1000000</v>
      </c>
      <c r="F56" s="4" t="n">
        <v>6</v>
      </c>
      <c r="G56" s="8" t="n">
        <v>188333.33</v>
      </c>
      <c r="H56" s="8" t="n">
        <v>1129999.98</v>
      </c>
      <c r="I56" s="8" t="n">
        <v>753333.3199999999</v>
      </c>
      <c r="J56" s="8" t="n">
        <v>188333.33</v>
      </c>
      <c r="K56" s="8" t="n">
        <v>-564999.99</v>
      </c>
      <c r="L56" s="8" t="n">
        <v>941666.65</v>
      </c>
      <c r="M56" s="4" t="n">
        <v>58</v>
      </c>
      <c r="N56" s="4" t="inlineStr">
        <is>
          <t>31-90 dpd</t>
        </is>
      </c>
      <c r="O56" s="4" t="n">
        <v>4</v>
      </c>
    </row>
    <row r="57">
      <c r="A57" s="4" t="inlineStr">
        <is>
          <t>L1055</t>
        </is>
      </c>
      <c r="B57" s="4" t="inlineStr">
        <is>
          <t>Pioneer Logistics</t>
        </is>
      </c>
      <c r="C57" s="4" t="inlineStr">
        <is>
          <t>Manufacturing</t>
        </is>
      </c>
      <c r="D57" s="4" t="inlineStr">
        <is>
          <t>2026-05-09</t>
        </is>
      </c>
      <c r="E57" s="8" t="n">
        <v>250000</v>
      </c>
      <c r="F57" s="4" t="n">
        <v>12</v>
      </c>
      <c r="G57" s="8" t="n">
        <v>26250</v>
      </c>
      <c r="H57" s="8" t="n">
        <v>315000</v>
      </c>
      <c r="I57" s="8" t="n">
        <v>26250</v>
      </c>
      <c r="J57" s="8" t="n">
        <v>0</v>
      </c>
      <c r="K57" s="8" t="n">
        <v>-26250</v>
      </c>
      <c r="L57" s="8" t="n">
        <v>315000</v>
      </c>
      <c r="M57" s="4" t="n">
        <v>0</v>
      </c>
      <c r="N57" s="4" t="inlineStr">
        <is>
          <t>Current</t>
        </is>
      </c>
      <c r="O57" s="4" t="n">
        <v>1</v>
      </c>
    </row>
    <row r="58">
      <c r="A58" s="4" t="inlineStr">
        <is>
          <t>L1056</t>
        </is>
      </c>
      <c r="B58" s="4" t="inlineStr">
        <is>
          <t>Bright Group</t>
        </is>
      </c>
      <c r="C58" s="4" t="inlineStr">
        <is>
          <t>Health</t>
        </is>
      </c>
      <c r="D58" s="4" t="inlineStr">
        <is>
          <t>2025-09-08</t>
        </is>
      </c>
      <c r="E58" s="8" t="n">
        <v>3000000</v>
      </c>
      <c r="F58" s="4" t="n">
        <v>24</v>
      </c>
      <c r="G58" s="8" t="n">
        <v>180000</v>
      </c>
      <c r="H58" s="8" t="n">
        <v>4320000</v>
      </c>
      <c r="I58" s="8" t="n">
        <v>1620000</v>
      </c>
      <c r="J58" s="8" t="n">
        <v>1080000</v>
      </c>
      <c r="K58" s="8" t="n">
        <v>-540000</v>
      </c>
      <c r="L58" s="8" t="n">
        <v>3240000</v>
      </c>
      <c r="M58" s="4" t="n">
        <v>54</v>
      </c>
      <c r="N58" s="4" t="inlineStr">
        <is>
          <t>31-90 dpd</t>
        </is>
      </c>
      <c r="O58" s="4" t="n">
        <v>9</v>
      </c>
    </row>
    <row r="59">
      <c r="A59" s="4" t="inlineStr">
        <is>
          <t>L1057</t>
        </is>
      </c>
      <c r="B59" s="4" t="inlineStr">
        <is>
          <t>Prime Enterprises</t>
        </is>
      </c>
      <c r="C59" s="4" t="inlineStr">
        <is>
          <t>Agriculture</t>
        </is>
      </c>
      <c r="D59" s="4" t="inlineStr">
        <is>
          <t>2025-02-18</t>
        </is>
      </c>
      <c r="E59" s="8" t="n">
        <v>2000000</v>
      </c>
      <c r="F59" s="4" t="n">
        <v>6</v>
      </c>
      <c r="G59" s="8" t="n">
        <v>376666.67</v>
      </c>
      <c r="H59" s="8" t="n">
        <v>2260000.02</v>
      </c>
      <c r="I59" s="8" t="n">
        <v>2260000.02</v>
      </c>
      <c r="J59" s="8" t="n">
        <v>2260000.02</v>
      </c>
      <c r="K59" s="8" t="n">
        <v>0</v>
      </c>
      <c r="L59" s="8" t="n">
        <v>0</v>
      </c>
      <c r="M59" s="4" t="n">
        <v>0</v>
      </c>
      <c r="N59" s="4" t="inlineStr">
        <is>
          <t>Current</t>
        </is>
      </c>
      <c r="O59" s="4" t="n">
        <v>16</v>
      </c>
    </row>
    <row r="60">
      <c r="A60" s="4" t="inlineStr">
        <is>
          <t>L1058</t>
        </is>
      </c>
      <c r="B60" s="4" t="inlineStr">
        <is>
          <t>Nova Enterprises</t>
        </is>
      </c>
      <c r="C60" s="4" t="inlineStr">
        <is>
          <t>Education</t>
        </is>
      </c>
      <c r="D60" s="4" t="inlineStr">
        <is>
          <t>2024-12-27</t>
        </is>
      </c>
      <c r="E60" s="8" t="n">
        <v>500000</v>
      </c>
      <c r="F60" s="4" t="n">
        <v>12</v>
      </c>
      <c r="G60" s="8" t="n">
        <v>49166.67</v>
      </c>
      <c r="H60" s="8" t="n">
        <v>590000.04</v>
      </c>
      <c r="I60" s="8" t="n">
        <v>590000.04</v>
      </c>
      <c r="J60" s="8" t="n">
        <v>196666.68</v>
      </c>
      <c r="K60" s="8" t="n">
        <v>-393333.36</v>
      </c>
      <c r="L60" s="8" t="n">
        <v>393333.36</v>
      </c>
      <c r="M60" s="4" t="n">
        <v>370</v>
      </c>
      <c r="N60" s="4" t="inlineStr">
        <is>
          <t>90+ dpd</t>
        </is>
      </c>
      <c r="O60" s="4" t="n">
        <v>18</v>
      </c>
    </row>
    <row r="61">
      <c r="A61" s="4" t="inlineStr">
        <is>
          <t>L1059</t>
        </is>
      </c>
      <c r="B61" s="4" t="inlineStr">
        <is>
          <t>Bright Group</t>
        </is>
      </c>
      <c r="C61" s="4" t="inlineStr">
        <is>
          <t>Food &amp; Beverage</t>
        </is>
      </c>
      <c r="D61" s="4" t="inlineStr">
        <is>
          <t>2025-07-13</t>
        </is>
      </c>
      <c r="E61" s="8" t="n">
        <v>1500000</v>
      </c>
      <c r="F61" s="4" t="n">
        <v>18</v>
      </c>
      <c r="G61" s="8" t="n">
        <v>120833.33</v>
      </c>
      <c r="H61" s="8" t="n">
        <v>2174999.94</v>
      </c>
      <c r="I61" s="8" t="n">
        <v>1329166.63</v>
      </c>
      <c r="J61" s="8" t="n">
        <v>1208333.3</v>
      </c>
      <c r="K61" s="8" t="n">
        <v>-120833.33</v>
      </c>
      <c r="L61" s="8" t="n">
        <v>966666.64</v>
      </c>
      <c r="M61" s="4" t="n">
        <v>0</v>
      </c>
      <c r="N61" s="4" t="inlineStr">
        <is>
          <t>Current</t>
        </is>
      </c>
      <c r="O61" s="4" t="n">
        <v>11</v>
      </c>
    </row>
    <row r="62">
      <c r="A62" s="4" t="inlineStr">
        <is>
          <t>L1060</t>
        </is>
      </c>
      <c r="B62" s="4" t="inlineStr">
        <is>
          <t>Harvest Holdings</t>
        </is>
      </c>
      <c r="C62" s="4" t="inlineStr">
        <is>
          <t>Health</t>
        </is>
      </c>
      <c r="D62" s="4" t="inlineStr">
        <is>
          <t>2025-05-23</t>
        </is>
      </c>
      <c r="E62" s="8" t="n">
        <v>500000</v>
      </c>
      <c r="F62" s="4" t="n">
        <v>18</v>
      </c>
      <c r="G62" s="8" t="n">
        <v>36944.44</v>
      </c>
      <c r="H62" s="8" t="n">
        <v>664999.92</v>
      </c>
      <c r="I62" s="8" t="n">
        <v>480277.72</v>
      </c>
      <c r="J62" s="8" t="n">
        <v>443333.28</v>
      </c>
      <c r="K62" s="8" t="n">
        <v>-36944.44</v>
      </c>
      <c r="L62" s="8" t="n">
        <v>221666.64</v>
      </c>
      <c r="M62" s="4" t="n">
        <v>0</v>
      </c>
      <c r="N62" s="4" t="inlineStr">
        <is>
          <t>Current</t>
        </is>
      </c>
      <c r="O62" s="4" t="n">
        <v>13</v>
      </c>
    </row>
    <row r="63">
      <c r="A63" s="4" t="inlineStr">
        <is>
          <t>L1061</t>
        </is>
      </c>
      <c r="B63" s="4" t="inlineStr">
        <is>
          <t>Verde Logistics</t>
        </is>
      </c>
      <c r="C63" s="4" t="inlineStr">
        <is>
          <t>Agriculture</t>
        </is>
      </c>
      <c r="D63" s="4" t="inlineStr">
        <is>
          <t>2026-01-17</t>
        </is>
      </c>
      <c r="E63" s="8" t="n">
        <v>3000000</v>
      </c>
      <c r="F63" s="4" t="n">
        <v>24</v>
      </c>
      <c r="G63" s="8" t="n">
        <v>200000</v>
      </c>
      <c r="H63" s="8" t="n">
        <v>4800000</v>
      </c>
      <c r="I63" s="8" t="n">
        <v>1000000</v>
      </c>
      <c r="J63" s="8" t="n">
        <v>400000</v>
      </c>
      <c r="K63" s="8" t="n">
        <v>-600000</v>
      </c>
      <c r="L63" s="8" t="n">
        <v>4400000</v>
      </c>
      <c r="M63" s="4" t="n">
        <v>45</v>
      </c>
      <c r="N63" s="4" t="inlineStr">
        <is>
          <t>31-90 dpd</t>
        </is>
      </c>
      <c r="O63" s="4" t="n">
        <v>5</v>
      </c>
    </row>
    <row r="64">
      <c r="A64" s="4" t="inlineStr">
        <is>
          <t>L1062</t>
        </is>
      </c>
      <c r="B64" s="4" t="inlineStr">
        <is>
          <t>Pioneer Works</t>
        </is>
      </c>
      <c r="C64" s="4" t="inlineStr">
        <is>
          <t>Education</t>
        </is>
      </c>
      <c r="D64" s="4" t="inlineStr">
        <is>
          <t>2025-02-11</t>
        </is>
      </c>
      <c r="E64" s="8" t="n">
        <v>3000000</v>
      </c>
      <c r="F64" s="4" t="n">
        <v>12</v>
      </c>
      <c r="G64" s="8" t="n">
        <v>295000</v>
      </c>
      <c r="H64" s="8" t="n">
        <v>3540000</v>
      </c>
      <c r="I64" s="8" t="n">
        <v>3540000</v>
      </c>
      <c r="J64" s="8" t="n">
        <v>3363000</v>
      </c>
      <c r="K64" s="8" t="n">
        <v>-177000</v>
      </c>
      <c r="L64" s="8" t="n">
        <v>177000</v>
      </c>
      <c r="M64" s="4" t="n">
        <v>110</v>
      </c>
      <c r="N64" s="4" t="inlineStr">
        <is>
          <t>90+ dpd</t>
        </is>
      </c>
      <c r="O64" s="4" t="n">
        <v>16</v>
      </c>
    </row>
    <row r="65">
      <c r="A65" s="4" t="inlineStr">
        <is>
          <t>L1063</t>
        </is>
      </c>
      <c r="B65" s="4" t="inlineStr">
        <is>
          <t>Harvest Works</t>
        </is>
      </c>
      <c r="C65" s="4" t="inlineStr">
        <is>
          <t>Technology</t>
        </is>
      </c>
      <c r="D65" s="4" t="inlineStr">
        <is>
          <t>2025-04-13</t>
        </is>
      </c>
      <c r="E65" s="8" t="n">
        <v>1000000</v>
      </c>
      <c r="F65" s="4" t="n">
        <v>9</v>
      </c>
      <c r="G65" s="8" t="n">
        <v>129444.44</v>
      </c>
      <c r="H65" s="8" t="n">
        <v>1164999.96</v>
      </c>
      <c r="I65" s="8" t="n">
        <v>1164999.96</v>
      </c>
      <c r="J65" s="8" t="n">
        <v>1164999.96</v>
      </c>
      <c r="K65" s="8" t="n">
        <v>0</v>
      </c>
      <c r="L65" s="8" t="n">
        <v>0</v>
      </c>
      <c r="M65" s="4" t="n">
        <v>0</v>
      </c>
      <c r="N65" s="4" t="inlineStr">
        <is>
          <t>Current</t>
        </is>
      </c>
      <c r="O65" s="4" t="n">
        <v>14</v>
      </c>
    </row>
    <row r="66">
      <c r="A66" s="4" t="inlineStr">
        <is>
          <t>L1064</t>
        </is>
      </c>
      <c r="B66" s="4" t="inlineStr">
        <is>
          <t>Bright Traders</t>
        </is>
      </c>
      <c r="C66" s="4" t="inlineStr">
        <is>
          <t>Health</t>
        </is>
      </c>
      <c r="D66" s="4" t="inlineStr">
        <is>
          <t>2026-03-23</t>
        </is>
      </c>
      <c r="E66" s="8" t="n">
        <v>3000000</v>
      </c>
      <c r="F66" s="4" t="n">
        <v>6</v>
      </c>
      <c r="G66" s="8" t="n">
        <v>575000</v>
      </c>
      <c r="H66" s="8" t="n">
        <v>3450000</v>
      </c>
      <c r="I66" s="8" t="n">
        <v>1725000</v>
      </c>
      <c r="J66" s="8" t="n">
        <v>575000</v>
      </c>
      <c r="K66" s="8" t="n">
        <v>-1150000</v>
      </c>
      <c r="L66" s="8" t="n">
        <v>2875000</v>
      </c>
      <c r="M66" s="4" t="n">
        <v>9</v>
      </c>
      <c r="N66" s="4" t="inlineStr">
        <is>
          <t>1-30 dpd</t>
        </is>
      </c>
      <c r="O66" s="4" t="n">
        <v>3</v>
      </c>
    </row>
    <row r="67">
      <c r="A67" s="4" t="inlineStr">
        <is>
          <t>L1065</t>
        </is>
      </c>
      <c r="B67" s="4" t="inlineStr">
        <is>
          <t>Coastal Works</t>
        </is>
      </c>
      <c r="C67" s="4" t="inlineStr">
        <is>
          <t>Food &amp; Beverage</t>
        </is>
      </c>
      <c r="D67" s="4" t="inlineStr">
        <is>
          <t>2025-06-04</t>
        </is>
      </c>
      <c r="E67" s="8" t="n">
        <v>500000</v>
      </c>
      <c r="F67" s="4" t="n">
        <v>24</v>
      </c>
      <c r="G67" s="8" t="n">
        <v>30000</v>
      </c>
      <c r="H67" s="8" t="n">
        <v>720000</v>
      </c>
      <c r="I67" s="8" t="n">
        <v>360000</v>
      </c>
      <c r="J67" s="8" t="n">
        <v>270000</v>
      </c>
      <c r="K67" s="8" t="n">
        <v>-90000</v>
      </c>
      <c r="L67" s="8" t="n">
        <v>450000</v>
      </c>
      <c r="M67" s="4" t="n">
        <v>58</v>
      </c>
      <c r="N67" s="4" t="inlineStr">
        <is>
          <t>31-90 dpd</t>
        </is>
      </c>
      <c r="O67" s="4" t="n">
        <v>12</v>
      </c>
    </row>
    <row r="68">
      <c r="A68" s="4" t="inlineStr">
        <is>
          <t>L1066</t>
        </is>
      </c>
      <c r="B68" s="4" t="inlineStr">
        <is>
          <t>Harvest Supplies</t>
        </is>
      </c>
      <c r="C68" s="4" t="inlineStr">
        <is>
          <t>Food &amp; Beverage</t>
        </is>
      </c>
      <c r="D68" s="4" t="inlineStr">
        <is>
          <t>2026-04-25</t>
        </is>
      </c>
      <c r="E68" s="8" t="n">
        <v>1500000</v>
      </c>
      <c r="F68" s="4" t="n">
        <v>6</v>
      </c>
      <c r="G68" s="8" t="n">
        <v>272500</v>
      </c>
      <c r="H68" s="8" t="n">
        <v>1635000</v>
      </c>
      <c r="I68" s="8" t="n">
        <v>545000</v>
      </c>
      <c r="J68" s="8" t="n">
        <v>272500</v>
      </c>
      <c r="K68" s="8" t="n">
        <v>-272500</v>
      </c>
      <c r="L68" s="8" t="n">
        <v>1362500</v>
      </c>
      <c r="M68" s="4" t="n">
        <v>0</v>
      </c>
      <c r="N68" s="4" t="inlineStr">
        <is>
          <t>Current</t>
        </is>
      </c>
      <c r="O68" s="4" t="n">
        <v>2</v>
      </c>
    </row>
    <row r="69">
      <c r="A69" s="4" t="inlineStr">
        <is>
          <t>L1067</t>
        </is>
      </c>
      <c r="B69" s="4" t="inlineStr">
        <is>
          <t>Bright Foods</t>
        </is>
      </c>
      <c r="C69" s="4" t="inlineStr">
        <is>
          <t>Food &amp; Beverage</t>
        </is>
      </c>
      <c r="D69" s="4" t="inlineStr">
        <is>
          <t>2025-08-04</t>
        </is>
      </c>
      <c r="E69" s="8" t="n">
        <v>1000000</v>
      </c>
      <c r="F69" s="4" t="n">
        <v>6</v>
      </c>
      <c r="G69" s="8" t="n">
        <v>188333.33</v>
      </c>
      <c r="H69" s="8" t="n">
        <v>1129999.98</v>
      </c>
      <c r="I69" s="8" t="n">
        <v>1129999.98</v>
      </c>
      <c r="J69" s="8" t="n">
        <v>1129999.98</v>
      </c>
      <c r="K69" s="8" t="n">
        <v>0</v>
      </c>
      <c r="L69" s="8" t="n">
        <v>0</v>
      </c>
      <c r="M69" s="4" t="n">
        <v>0</v>
      </c>
      <c r="N69" s="4" t="inlineStr">
        <is>
          <t>Current</t>
        </is>
      </c>
      <c r="O69" s="4" t="n">
        <v>10</v>
      </c>
    </row>
    <row r="70">
      <c r="A70" s="4" t="inlineStr">
        <is>
          <t>L1068</t>
        </is>
      </c>
      <c r="B70" s="4" t="inlineStr">
        <is>
          <t>Pioneer Services</t>
        </is>
      </c>
      <c r="C70" s="4" t="inlineStr">
        <is>
          <t>Fashion</t>
        </is>
      </c>
      <c r="D70" s="4" t="inlineStr">
        <is>
          <t>2026-02-02</t>
        </is>
      </c>
      <c r="E70" s="8" t="n">
        <v>1000000</v>
      </c>
      <c r="F70" s="4" t="n">
        <v>12</v>
      </c>
      <c r="G70" s="8" t="n">
        <v>105000</v>
      </c>
      <c r="H70" s="8" t="n">
        <v>1260000</v>
      </c>
      <c r="I70" s="8" t="n">
        <v>420000</v>
      </c>
      <c r="J70" s="8" t="n">
        <v>105000</v>
      </c>
      <c r="K70" s="8" t="n">
        <v>-315000</v>
      </c>
      <c r="L70" s="8" t="n">
        <v>1155000</v>
      </c>
      <c r="M70" s="4" t="n">
        <v>60</v>
      </c>
      <c r="N70" s="4" t="inlineStr">
        <is>
          <t>31-90 dpd</t>
        </is>
      </c>
      <c r="O70" s="4" t="n">
        <v>4</v>
      </c>
    </row>
    <row r="71">
      <c r="A71" s="4" t="inlineStr">
        <is>
          <t>L1069</t>
        </is>
      </c>
      <c r="B71" s="4" t="inlineStr">
        <is>
          <t>Lagoon Services</t>
        </is>
      </c>
      <c r="C71" s="4" t="inlineStr">
        <is>
          <t>Education</t>
        </is>
      </c>
      <c r="D71" s="4" t="inlineStr">
        <is>
          <t>2026-02-09</t>
        </is>
      </c>
      <c r="E71" s="8" t="n">
        <v>3000000</v>
      </c>
      <c r="F71" s="4" t="n">
        <v>12</v>
      </c>
      <c r="G71" s="8" t="n">
        <v>315000</v>
      </c>
      <c r="H71" s="8" t="n">
        <v>3780000</v>
      </c>
      <c r="I71" s="8" t="n">
        <v>1260000</v>
      </c>
      <c r="J71" s="8" t="n">
        <v>945000</v>
      </c>
      <c r="K71" s="8" t="n">
        <v>-315000</v>
      </c>
      <c r="L71" s="8" t="n">
        <v>2835000</v>
      </c>
      <c r="M71" s="4" t="n">
        <v>0</v>
      </c>
      <c r="N71" s="4" t="inlineStr">
        <is>
          <t>Current</t>
        </is>
      </c>
      <c r="O71" s="4" t="n">
        <v>4</v>
      </c>
    </row>
    <row r="72">
      <c r="A72" s="4" t="inlineStr">
        <is>
          <t>L1070</t>
        </is>
      </c>
      <c r="B72" s="4" t="inlineStr">
        <is>
          <t>Harvest Foods</t>
        </is>
      </c>
      <c r="C72" s="4" t="inlineStr">
        <is>
          <t>Logistics</t>
        </is>
      </c>
      <c r="D72" s="4" t="inlineStr">
        <is>
          <t>2025-09-02</t>
        </is>
      </c>
      <c r="E72" s="8" t="n">
        <v>1000000</v>
      </c>
      <c r="F72" s="4" t="n">
        <v>6</v>
      </c>
      <c r="G72" s="8" t="n">
        <v>191666.67</v>
      </c>
      <c r="H72" s="8" t="n">
        <v>1150000.02</v>
      </c>
      <c r="I72" s="8" t="n">
        <v>1150000.02</v>
      </c>
      <c r="J72" s="8" t="n">
        <v>1150000.02</v>
      </c>
      <c r="K72" s="8" t="n">
        <v>0</v>
      </c>
      <c r="L72" s="8" t="n">
        <v>0</v>
      </c>
      <c r="M72" s="4" t="n">
        <v>0</v>
      </c>
      <c r="N72" s="4" t="inlineStr">
        <is>
          <t>Current</t>
        </is>
      </c>
      <c r="O72" s="4" t="n">
        <v>9</v>
      </c>
    </row>
    <row r="73">
      <c r="A73" s="4" t="inlineStr">
        <is>
          <t>L1071</t>
        </is>
      </c>
      <c r="B73" s="4" t="inlineStr">
        <is>
          <t>Bright Stores</t>
        </is>
      </c>
      <c r="C73" s="4" t="inlineStr">
        <is>
          <t>Fashion</t>
        </is>
      </c>
      <c r="D73" s="4" t="inlineStr">
        <is>
          <t>2025-11-16</t>
        </is>
      </c>
      <c r="E73" s="8" t="n">
        <v>3000000</v>
      </c>
      <c r="F73" s="4" t="n">
        <v>12</v>
      </c>
      <c r="G73" s="8" t="n">
        <v>305000</v>
      </c>
      <c r="H73" s="8" t="n">
        <v>3660000</v>
      </c>
      <c r="I73" s="8" t="n">
        <v>2135000</v>
      </c>
      <c r="J73" s="8" t="n">
        <v>1220000</v>
      </c>
      <c r="K73" s="8" t="n">
        <v>-915000</v>
      </c>
      <c r="L73" s="8" t="n">
        <v>2440000</v>
      </c>
      <c r="M73" s="4" t="n">
        <v>46</v>
      </c>
      <c r="N73" s="4" t="inlineStr">
        <is>
          <t>31-90 dpd</t>
        </is>
      </c>
      <c r="O73" s="4" t="n">
        <v>7</v>
      </c>
    </row>
    <row r="74">
      <c r="A74" s="4" t="inlineStr">
        <is>
          <t>L1072</t>
        </is>
      </c>
      <c r="B74" s="4" t="inlineStr">
        <is>
          <t>Sterling Ventures</t>
        </is>
      </c>
      <c r="C74" s="4" t="inlineStr">
        <is>
          <t>Retail</t>
        </is>
      </c>
      <c r="D74" s="4" t="inlineStr">
        <is>
          <t>2026-04-15</t>
        </is>
      </c>
      <c r="E74" s="8" t="n">
        <v>3000000</v>
      </c>
      <c r="F74" s="4" t="n">
        <v>6</v>
      </c>
      <c r="G74" s="8" t="n">
        <v>545000</v>
      </c>
      <c r="H74" s="8" t="n">
        <v>3270000</v>
      </c>
      <c r="I74" s="8" t="n">
        <v>1090000</v>
      </c>
      <c r="J74" s="8" t="n">
        <v>545000</v>
      </c>
      <c r="K74" s="8" t="n">
        <v>-545000</v>
      </c>
      <c r="L74" s="8" t="n">
        <v>2725000</v>
      </c>
      <c r="M74" s="4" t="n">
        <v>0</v>
      </c>
      <c r="N74" s="4" t="inlineStr">
        <is>
          <t>Current</t>
        </is>
      </c>
      <c r="O74" s="4" t="n">
        <v>2</v>
      </c>
    </row>
    <row r="75">
      <c r="A75" s="4" t="inlineStr">
        <is>
          <t>L1073</t>
        </is>
      </c>
      <c r="B75" s="4" t="inlineStr">
        <is>
          <t>Sterling Services</t>
        </is>
      </c>
      <c r="C75" s="4" t="inlineStr">
        <is>
          <t>Manufacturing</t>
        </is>
      </c>
      <c r="D75" s="4" t="inlineStr">
        <is>
          <t>2025-07-25</t>
        </is>
      </c>
      <c r="E75" s="8" t="n">
        <v>1500000</v>
      </c>
      <c r="F75" s="4" t="n">
        <v>6</v>
      </c>
      <c r="G75" s="8" t="n">
        <v>287500</v>
      </c>
      <c r="H75" s="8" t="n">
        <v>1725000</v>
      </c>
      <c r="I75" s="8" t="n">
        <v>1725000</v>
      </c>
      <c r="J75" s="8" t="n">
        <v>1725000</v>
      </c>
      <c r="K75" s="8" t="n">
        <v>0</v>
      </c>
      <c r="L75" s="8" t="n">
        <v>0</v>
      </c>
      <c r="M75" s="4" t="n">
        <v>0</v>
      </c>
      <c r="N75" s="4" t="inlineStr">
        <is>
          <t>Current</t>
        </is>
      </c>
      <c r="O75" s="4" t="n">
        <v>11</v>
      </c>
    </row>
    <row r="76">
      <c r="A76" s="4" t="inlineStr">
        <is>
          <t>L1074</t>
        </is>
      </c>
      <c r="B76" s="4" t="inlineStr">
        <is>
          <t>Crown Group</t>
        </is>
      </c>
      <c r="C76" s="4" t="inlineStr">
        <is>
          <t>Construction</t>
        </is>
      </c>
      <c r="D76" s="4" t="inlineStr">
        <is>
          <t>2025-04-27</t>
        </is>
      </c>
      <c r="E76" s="8" t="n">
        <v>750000</v>
      </c>
      <c r="F76" s="4" t="n">
        <v>24</v>
      </c>
      <c r="G76" s="8" t="n">
        <v>47500</v>
      </c>
      <c r="H76" s="8" t="n">
        <v>1140000</v>
      </c>
      <c r="I76" s="8" t="n">
        <v>665000</v>
      </c>
      <c r="J76" s="8" t="n">
        <v>617500</v>
      </c>
      <c r="K76" s="8" t="n">
        <v>-47500</v>
      </c>
      <c r="L76" s="8" t="n">
        <v>522500</v>
      </c>
      <c r="M76" s="4" t="n">
        <v>0</v>
      </c>
      <c r="N76" s="4" t="inlineStr">
        <is>
          <t>Current</t>
        </is>
      </c>
      <c r="O76" s="4" t="n">
        <v>14</v>
      </c>
    </row>
    <row r="77">
      <c r="A77" s="4" t="inlineStr">
        <is>
          <t>L1075</t>
        </is>
      </c>
      <c r="B77" s="4" t="inlineStr">
        <is>
          <t>Apex Logistics</t>
        </is>
      </c>
      <c r="C77" s="4" t="inlineStr">
        <is>
          <t>Health</t>
        </is>
      </c>
      <c r="D77" s="4" t="inlineStr">
        <is>
          <t>2025-11-22</t>
        </is>
      </c>
      <c r="E77" s="8" t="n">
        <v>2000000</v>
      </c>
      <c r="F77" s="4" t="n">
        <v>6</v>
      </c>
      <c r="G77" s="8" t="n">
        <v>383333.33</v>
      </c>
      <c r="H77" s="8" t="n">
        <v>2299999.98</v>
      </c>
      <c r="I77" s="8" t="n">
        <v>2299999.98</v>
      </c>
      <c r="J77" s="8" t="n">
        <v>1149999.99</v>
      </c>
      <c r="K77" s="8" t="n">
        <v>-1149999.99</v>
      </c>
      <c r="L77" s="8" t="n">
        <v>1149999.99</v>
      </c>
      <c r="M77" s="4" t="n">
        <v>71</v>
      </c>
      <c r="N77" s="4" t="inlineStr">
        <is>
          <t>31-90 dpd</t>
        </is>
      </c>
      <c r="O77" s="4" t="n">
        <v>7</v>
      </c>
    </row>
    <row r="78">
      <c r="A78" s="4" t="inlineStr">
        <is>
          <t>L1076</t>
        </is>
      </c>
      <c r="B78" s="4" t="inlineStr">
        <is>
          <t>Metro Enterprises</t>
        </is>
      </c>
      <c r="C78" s="4" t="inlineStr">
        <is>
          <t>Construction</t>
        </is>
      </c>
      <c r="D78" s="4" t="inlineStr">
        <is>
          <t>2026-05-24</t>
        </is>
      </c>
      <c r="E78" s="8" t="n">
        <v>2000000</v>
      </c>
      <c r="F78" s="4" t="n">
        <v>12</v>
      </c>
      <c r="G78" s="8" t="n">
        <v>216666.67</v>
      </c>
      <c r="H78" s="8" t="n">
        <v>2600000.04</v>
      </c>
      <c r="I78" s="8" t="n">
        <v>216666.67</v>
      </c>
      <c r="J78" s="8" t="n">
        <v>0</v>
      </c>
      <c r="K78" s="8" t="n">
        <v>-216666.67</v>
      </c>
      <c r="L78" s="8" t="n">
        <v>2600000.04</v>
      </c>
      <c r="M78" s="4" t="n">
        <v>0</v>
      </c>
      <c r="N78" s="4" t="inlineStr">
        <is>
          <t>Current</t>
        </is>
      </c>
      <c r="O78" s="4" t="n">
        <v>1</v>
      </c>
    </row>
    <row r="79">
      <c r="A79" s="4" t="inlineStr">
        <is>
          <t>L1077</t>
        </is>
      </c>
      <c r="B79" s="4" t="inlineStr">
        <is>
          <t>Unity Ventures</t>
        </is>
      </c>
      <c r="C79" s="4" t="inlineStr">
        <is>
          <t>Agriculture</t>
        </is>
      </c>
      <c r="D79" s="4" t="inlineStr">
        <is>
          <t>2025-04-08</t>
        </is>
      </c>
      <c r="E79" s="8" t="n">
        <v>250000</v>
      </c>
      <c r="F79" s="4" t="n">
        <v>6</v>
      </c>
      <c r="G79" s="8" t="n">
        <v>46250</v>
      </c>
      <c r="H79" s="8" t="n">
        <v>277500</v>
      </c>
      <c r="I79" s="8" t="n">
        <v>277500</v>
      </c>
      <c r="J79" s="8" t="n">
        <v>277500</v>
      </c>
      <c r="K79" s="8" t="n">
        <v>0</v>
      </c>
      <c r="L79" s="8" t="n">
        <v>0</v>
      </c>
      <c r="M79" s="4" t="n">
        <v>0</v>
      </c>
      <c r="N79" s="4" t="inlineStr">
        <is>
          <t>Current</t>
        </is>
      </c>
      <c r="O79" s="4" t="n">
        <v>14</v>
      </c>
    </row>
    <row r="80">
      <c r="A80" s="4" t="inlineStr">
        <is>
          <t>L1078</t>
        </is>
      </c>
      <c r="B80" s="4" t="inlineStr">
        <is>
          <t>Metro Enterprises</t>
        </is>
      </c>
      <c r="C80" s="4" t="inlineStr">
        <is>
          <t>Fashion</t>
        </is>
      </c>
      <c r="D80" s="4" t="inlineStr">
        <is>
          <t>2025-10-07</t>
        </is>
      </c>
      <c r="E80" s="8" t="n">
        <v>750000</v>
      </c>
      <c r="F80" s="4" t="n">
        <v>9</v>
      </c>
      <c r="G80" s="8" t="n">
        <v>99583.33</v>
      </c>
      <c r="H80" s="8" t="n">
        <v>896249.97</v>
      </c>
      <c r="I80" s="8" t="n">
        <v>796666.64</v>
      </c>
      <c r="J80" s="8" t="n">
        <v>497916.65</v>
      </c>
      <c r="K80" s="8" t="n">
        <v>-298749.99</v>
      </c>
      <c r="L80" s="8" t="n">
        <v>398333.32</v>
      </c>
      <c r="M80" s="4" t="n">
        <v>55</v>
      </c>
      <c r="N80" s="4" t="inlineStr">
        <is>
          <t>31-90 dpd</t>
        </is>
      </c>
      <c r="O80" s="4" t="n">
        <v>8</v>
      </c>
    </row>
    <row r="81">
      <c r="A81" s="4" t="inlineStr">
        <is>
          <t>L1079</t>
        </is>
      </c>
      <c r="B81" s="4" t="inlineStr">
        <is>
          <t>Coastal Services</t>
        </is>
      </c>
      <c r="C81" s="4" t="inlineStr">
        <is>
          <t>Manufacturing</t>
        </is>
      </c>
      <c r="D81" s="4" t="inlineStr">
        <is>
          <t>2025-07-11</t>
        </is>
      </c>
      <c r="E81" s="8" t="n">
        <v>500000</v>
      </c>
      <c r="F81" s="4" t="n">
        <v>18</v>
      </c>
      <c r="G81" s="8" t="n">
        <v>35277.78</v>
      </c>
      <c r="H81" s="8" t="n">
        <v>635000.04</v>
      </c>
      <c r="I81" s="8" t="n">
        <v>388055.58</v>
      </c>
      <c r="J81" s="8" t="n">
        <v>282222.24</v>
      </c>
      <c r="K81" s="8" t="n">
        <v>-105833.34</v>
      </c>
      <c r="L81" s="8" t="n">
        <v>352777.8</v>
      </c>
      <c r="M81" s="4" t="n">
        <v>51</v>
      </c>
      <c r="N81" s="4" t="inlineStr">
        <is>
          <t>31-90 dpd</t>
        </is>
      </c>
      <c r="O81" s="4" t="n">
        <v>11</v>
      </c>
    </row>
    <row r="82">
      <c r="A82" s="4" t="inlineStr">
        <is>
          <t>L1080</t>
        </is>
      </c>
      <c r="B82" s="4" t="inlineStr">
        <is>
          <t>Coastal Traders</t>
        </is>
      </c>
      <c r="C82" s="4" t="inlineStr">
        <is>
          <t>Health</t>
        </is>
      </c>
      <c r="D82" s="4" t="inlineStr">
        <is>
          <t>2025-12-25</t>
        </is>
      </c>
      <c r="E82" s="8" t="n">
        <v>2000000</v>
      </c>
      <c r="F82" s="4" t="n">
        <v>12</v>
      </c>
      <c r="G82" s="8" t="n">
        <v>216666.67</v>
      </c>
      <c r="H82" s="8" t="n">
        <v>2600000.04</v>
      </c>
      <c r="I82" s="8" t="n">
        <v>1300000.02</v>
      </c>
      <c r="J82" s="8" t="n">
        <v>433333.34</v>
      </c>
      <c r="K82" s="8" t="n">
        <v>-866666.6800000001</v>
      </c>
      <c r="L82" s="8" t="n">
        <v>2166666.7</v>
      </c>
      <c r="M82" s="4" t="n">
        <v>68</v>
      </c>
      <c r="N82" s="4" t="inlineStr">
        <is>
          <t>31-90 dpd</t>
        </is>
      </c>
      <c r="O82" s="4" t="n">
        <v>6</v>
      </c>
    </row>
    <row r="83">
      <c r="A83" s="4" t="inlineStr">
        <is>
          <t>L1081</t>
        </is>
      </c>
      <c r="B83" s="4" t="inlineStr">
        <is>
          <t>Sterling Supplies</t>
        </is>
      </c>
      <c r="C83" s="4" t="inlineStr">
        <is>
          <t>Health</t>
        </is>
      </c>
      <c r="D83" s="4" t="inlineStr">
        <is>
          <t>2026-05-23</t>
        </is>
      </c>
      <c r="E83" s="8" t="n">
        <v>1000000</v>
      </c>
      <c r="F83" s="4" t="n">
        <v>18</v>
      </c>
      <c r="G83" s="8" t="n">
        <v>70555.56</v>
      </c>
      <c r="H83" s="8" t="n">
        <v>1270000.08</v>
      </c>
      <c r="I83" s="8" t="n">
        <v>70555.56</v>
      </c>
      <c r="J83" s="8" t="n">
        <v>0</v>
      </c>
      <c r="K83" s="8" t="n">
        <v>-70555.56</v>
      </c>
      <c r="L83" s="8" t="n">
        <v>1270000.08</v>
      </c>
      <c r="M83" s="4" t="n">
        <v>0</v>
      </c>
      <c r="N83" s="4" t="inlineStr">
        <is>
          <t>Current</t>
        </is>
      </c>
      <c r="O83" s="4" t="n">
        <v>1</v>
      </c>
    </row>
    <row r="84">
      <c r="A84" s="4" t="inlineStr">
        <is>
          <t>L1082</t>
        </is>
      </c>
      <c r="B84" s="4" t="inlineStr">
        <is>
          <t>Crown Stores</t>
        </is>
      </c>
      <c r="C84" s="4" t="inlineStr">
        <is>
          <t>Logistics</t>
        </is>
      </c>
      <c r="D84" s="4" t="inlineStr">
        <is>
          <t>2026-01-18</t>
        </is>
      </c>
      <c r="E84" s="8" t="n">
        <v>250000</v>
      </c>
      <c r="F84" s="4" t="n">
        <v>9</v>
      </c>
      <c r="G84" s="8" t="n">
        <v>31527.78</v>
      </c>
      <c r="H84" s="8" t="n">
        <v>283750.02</v>
      </c>
      <c r="I84" s="8" t="n">
        <v>157638.9</v>
      </c>
      <c r="J84" s="8" t="n">
        <v>63055.56</v>
      </c>
      <c r="K84" s="8" t="n">
        <v>-94583.34</v>
      </c>
      <c r="L84" s="8" t="n">
        <v>220694.46</v>
      </c>
      <c r="M84" s="4" t="n">
        <v>44</v>
      </c>
      <c r="N84" s="4" t="inlineStr">
        <is>
          <t>31-90 dpd</t>
        </is>
      </c>
      <c r="O84" s="4" t="n">
        <v>5</v>
      </c>
    </row>
    <row r="85">
      <c r="A85" s="4" t="inlineStr">
        <is>
          <t>L1083</t>
        </is>
      </c>
      <c r="B85" s="4" t="inlineStr">
        <is>
          <t>Prime Works</t>
        </is>
      </c>
      <c r="C85" s="4" t="inlineStr">
        <is>
          <t>Construction</t>
        </is>
      </c>
      <c r="D85" s="4" t="inlineStr">
        <is>
          <t>2025-10-19</t>
        </is>
      </c>
      <c r="E85" s="8" t="n">
        <v>1000000</v>
      </c>
      <c r="F85" s="4" t="n">
        <v>24</v>
      </c>
      <c r="G85" s="8" t="n">
        <v>66666.67</v>
      </c>
      <c r="H85" s="8" t="n">
        <v>1600000.08</v>
      </c>
      <c r="I85" s="8" t="n">
        <v>533333.36</v>
      </c>
      <c r="J85" s="8" t="n">
        <v>133333.34</v>
      </c>
      <c r="K85" s="8" t="n">
        <v>-400000.02</v>
      </c>
      <c r="L85" s="8" t="n">
        <v>1466666.74</v>
      </c>
      <c r="M85" s="4" t="n">
        <v>133</v>
      </c>
      <c r="N85" s="4" t="inlineStr">
        <is>
          <t>90+ dpd</t>
        </is>
      </c>
      <c r="O85" s="4" t="n">
        <v>8</v>
      </c>
    </row>
    <row r="86">
      <c r="A86" s="4" t="inlineStr">
        <is>
          <t>L1084</t>
        </is>
      </c>
      <c r="B86" s="4" t="inlineStr">
        <is>
          <t>Prime Supplies</t>
        </is>
      </c>
      <c r="C86" s="4" t="inlineStr">
        <is>
          <t>Manufacturing</t>
        </is>
      </c>
      <c r="D86" s="4" t="inlineStr">
        <is>
          <t>2025-11-03</t>
        </is>
      </c>
      <c r="E86" s="8" t="n">
        <v>1500000</v>
      </c>
      <c r="F86" s="4" t="n">
        <v>18</v>
      </c>
      <c r="G86" s="8" t="n">
        <v>115833.33</v>
      </c>
      <c r="H86" s="8" t="n">
        <v>2084999.94</v>
      </c>
      <c r="I86" s="8" t="n">
        <v>810833.3100000001</v>
      </c>
      <c r="J86" s="8" t="n">
        <v>625499.98</v>
      </c>
      <c r="K86" s="8" t="n">
        <v>-185333.33</v>
      </c>
      <c r="L86" s="8" t="n">
        <v>1459499.96</v>
      </c>
      <c r="M86" s="4" t="n">
        <v>29</v>
      </c>
      <c r="N86" s="4" t="inlineStr">
        <is>
          <t>1-30 dpd</t>
        </is>
      </c>
      <c r="O86" s="4" t="n">
        <v>7</v>
      </c>
    </row>
    <row r="87">
      <c r="A87" s="4" t="inlineStr">
        <is>
          <t>L1085</t>
        </is>
      </c>
      <c r="B87" s="4" t="inlineStr">
        <is>
          <t>Sterling Holdings</t>
        </is>
      </c>
      <c r="C87" s="4" t="inlineStr">
        <is>
          <t>Health</t>
        </is>
      </c>
      <c r="D87" s="4" t="inlineStr">
        <is>
          <t>2026-01-04</t>
        </is>
      </c>
      <c r="E87" s="8" t="n">
        <v>3000000</v>
      </c>
      <c r="F87" s="4" t="n">
        <v>24</v>
      </c>
      <c r="G87" s="8" t="n">
        <v>170000</v>
      </c>
      <c r="H87" s="8" t="n">
        <v>4080000</v>
      </c>
      <c r="I87" s="8" t="n">
        <v>850000</v>
      </c>
      <c r="J87" s="8" t="n">
        <v>510000</v>
      </c>
      <c r="K87" s="8" t="n">
        <v>-340000</v>
      </c>
      <c r="L87" s="8" t="n">
        <v>3570000</v>
      </c>
      <c r="M87" s="4" t="n">
        <v>28</v>
      </c>
      <c r="N87" s="4" t="inlineStr">
        <is>
          <t>1-30 dpd</t>
        </is>
      </c>
      <c r="O87" s="4" t="n">
        <v>5</v>
      </c>
    </row>
    <row r="88">
      <c r="A88" s="4" t="inlineStr">
        <is>
          <t>L1086</t>
        </is>
      </c>
      <c r="B88" s="4" t="inlineStr">
        <is>
          <t>Nova Ventures</t>
        </is>
      </c>
      <c r="C88" s="4" t="inlineStr">
        <is>
          <t>Logistics</t>
        </is>
      </c>
      <c r="D88" s="4" t="inlineStr">
        <is>
          <t>2025-08-22</t>
        </is>
      </c>
      <c r="E88" s="8" t="n">
        <v>3000000</v>
      </c>
      <c r="F88" s="4" t="n">
        <v>18</v>
      </c>
      <c r="G88" s="8" t="n">
        <v>241666.67</v>
      </c>
      <c r="H88" s="8" t="n">
        <v>4350000.06</v>
      </c>
      <c r="I88" s="8" t="n">
        <v>2416666.7</v>
      </c>
      <c r="J88" s="8" t="n">
        <v>2175000.03</v>
      </c>
      <c r="K88" s="8" t="n">
        <v>-241666.67</v>
      </c>
      <c r="L88" s="8" t="n">
        <v>2175000.03</v>
      </c>
      <c r="M88" s="4" t="n">
        <v>0</v>
      </c>
      <c r="N88" s="4" t="inlineStr">
        <is>
          <t>Current</t>
        </is>
      </c>
      <c r="O88" s="4" t="n">
        <v>10</v>
      </c>
    </row>
    <row r="89">
      <c r="A89" s="4" t="inlineStr">
        <is>
          <t>L1087</t>
        </is>
      </c>
      <c r="B89" s="4" t="inlineStr">
        <is>
          <t>Verde Foods</t>
        </is>
      </c>
      <c r="C89" s="4" t="inlineStr">
        <is>
          <t>Food &amp; Beverage</t>
        </is>
      </c>
      <c r="D89" s="4" t="inlineStr">
        <is>
          <t>2025-12-16</t>
        </is>
      </c>
      <c r="E89" s="8" t="n">
        <v>250000</v>
      </c>
      <c r="F89" s="4" t="n">
        <v>6</v>
      </c>
      <c r="G89" s="8" t="n">
        <v>47083.33</v>
      </c>
      <c r="H89" s="8" t="n">
        <v>282499.98</v>
      </c>
      <c r="I89" s="8" t="n">
        <v>282499.98</v>
      </c>
      <c r="J89" s="8" t="n">
        <v>235416.65</v>
      </c>
      <c r="K89" s="8" t="n">
        <v>-47083.33</v>
      </c>
      <c r="L89" s="8" t="n">
        <v>47083.33</v>
      </c>
      <c r="M89" s="4" t="n">
        <v>0</v>
      </c>
      <c r="N89" s="4" t="inlineStr">
        <is>
          <t>Current</t>
        </is>
      </c>
      <c r="O89" s="4" t="n">
        <v>6</v>
      </c>
    </row>
    <row r="90">
      <c r="A90" s="4" t="inlineStr">
        <is>
          <t>L1088</t>
        </is>
      </c>
      <c r="B90" s="4" t="inlineStr">
        <is>
          <t>Unity Enterprises</t>
        </is>
      </c>
      <c r="C90" s="4" t="inlineStr">
        <is>
          <t>Health</t>
        </is>
      </c>
      <c r="D90" s="4" t="inlineStr">
        <is>
          <t>2025-02-16</t>
        </is>
      </c>
      <c r="E90" s="8" t="n">
        <v>250000</v>
      </c>
      <c r="F90" s="4" t="n">
        <v>12</v>
      </c>
      <c r="G90" s="8" t="n">
        <v>25416.67</v>
      </c>
      <c r="H90" s="8" t="n">
        <v>305000.04</v>
      </c>
      <c r="I90" s="8" t="n">
        <v>305000.04</v>
      </c>
      <c r="J90" s="8" t="n">
        <v>315166.71</v>
      </c>
      <c r="K90" s="8" t="n">
        <v>10166.67</v>
      </c>
      <c r="L90" s="8" t="n">
        <v>0</v>
      </c>
      <c r="M90" s="4" t="n">
        <v>0</v>
      </c>
      <c r="N90" s="4" t="inlineStr">
        <is>
          <t>Current</t>
        </is>
      </c>
      <c r="O90" s="4" t="n">
        <v>16</v>
      </c>
    </row>
    <row r="91">
      <c r="A91" s="4" t="inlineStr">
        <is>
          <t>L1089</t>
        </is>
      </c>
      <c r="B91" s="4" t="inlineStr">
        <is>
          <t>Unity Foods</t>
        </is>
      </c>
      <c r="C91" s="4" t="inlineStr">
        <is>
          <t>Health</t>
        </is>
      </c>
      <c r="D91" s="4" t="inlineStr">
        <is>
          <t>2026-01-21</t>
        </is>
      </c>
      <c r="E91" s="8" t="n">
        <v>3000000</v>
      </c>
      <c r="F91" s="4" t="n">
        <v>18</v>
      </c>
      <c r="G91" s="8" t="n">
        <v>231666.67</v>
      </c>
      <c r="H91" s="8" t="n">
        <v>4170000.06</v>
      </c>
      <c r="I91" s="8" t="n">
        <v>1158333.35</v>
      </c>
      <c r="J91" s="8" t="n">
        <v>463333.34</v>
      </c>
      <c r="K91" s="8" t="n">
        <v>-695000.01</v>
      </c>
      <c r="L91" s="8" t="n">
        <v>3706666.72</v>
      </c>
      <c r="M91" s="4" t="n">
        <v>41</v>
      </c>
      <c r="N91" s="4" t="inlineStr">
        <is>
          <t>31-90 dpd</t>
        </is>
      </c>
      <c r="O91" s="4" t="n">
        <v>5</v>
      </c>
    </row>
    <row r="92">
      <c r="A92" s="4" t="inlineStr">
        <is>
          <t>L1090</t>
        </is>
      </c>
      <c r="B92" s="4" t="inlineStr">
        <is>
          <t>Prime Enterprises</t>
        </is>
      </c>
      <c r="C92" s="4" t="inlineStr">
        <is>
          <t>Retail</t>
        </is>
      </c>
      <c r="D92" s="4" t="inlineStr">
        <is>
          <t>2025-02-26</t>
        </is>
      </c>
      <c r="E92" s="8" t="n">
        <v>2000000</v>
      </c>
      <c r="F92" s="4" t="n">
        <v>6</v>
      </c>
      <c r="G92" s="8" t="n">
        <v>383333.33</v>
      </c>
      <c r="H92" s="8" t="n">
        <v>2299999.98</v>
      </c>
      <c r="I92" s="8" t="n">
        <v>2299999.98</v>
      </c>
      <c r="J92" s="8" t="n">
        <v>2299999.98</v>
      </c>
      <c r="K92" s="8" t="n">
        <v>0</v>
      </c>
      <c r="L92" s="8" t="n">
        <v>0</v>
      </c>
      <c r="M92" s="4" t="n">
        <v>0</v>
      </c>
      <c r="N92" s="4" t="inlineStr">
        <is>
          <t>Current</t>
        </is>
      </c>
      <c r="O92" s="4" t="n">
        <v>16</v>
      </c>
    </row>
    <row r="93">
      <c r="A93" s="4" t="inlineStr">
        <is>
          <t>L1091</t>
        </is>
      </c>
      <c r="B93" s="4" t="inlineStr">
        <is>
          <t>Crown Foods</t>
        </is>
      </c>
      <c r="C93" s="4" t="inlineStr">
        <is>
          <t>Construction</t>
        </is>
      </c>
      <c r="D93" s="4" t="inlineStr">
        <is>
          <t>2025-08-18</t>
        </is>
      </c>
      <c r="E93" s="8" t="n">
        <v>2000000</v>
      </c>
      <c r="F93" s="4" t="n">
        <v>12</v>
      </c>
      <c r="G93" s="8" t="n">
        <v>216666.67</v>
      </c>
      <c r="H93" s="8" t="n">
        <v>2600000.04</v>
      </c>
      <c r="I93" s="8" t="n">
        <v>2166666.7</v>
      </c>
      <c r="J93" s="8" t="n">
        <v>1950000.03</v>
      </c>
      <c r="K93" s="8" t="n">
        <v>-216666.67</v>
      </c>
      <c r="L93" s="8" t="n">
        <v>650000.01</v>
      </c>
      <c r="M93" s="4" t="n">
        <v>0</v>
      </c>
      <c r="N93" s="4" t="inlineStr">
        <is>
          <t>Current</t>
        </is>
      </c>
      <c r="O93" s="4" t="n">
        <v>10</v>
      </c>
    </row>
    <row r="94">
      <c r="A94" s="4" t="inlineStr">
        <is>
          <t>L1092</t>
        </is>
      </c>
      <c r="B94" s="4" t="inlineStr">
        <is>
          <t>Crown Group</t>
        </is>
      </c>
      <c r="C94" s="4" t="inlineStr">
        <is>
          <t>Logistics</t>
        </is>
      </c>
      <c r="D94" s="4" t="inlineStr">
        <is>
          <t>2026-01-10</t>
        </is>
      </c>
      <c r="E94" s="8" t="n">
        <v>2000000</v>
      </c>
      <c r="F94" s="4" t="n">
        <v>24</v>
      </c>
      <c r="G94" s="8" t="n">
        <v>133333.33</v>
      </c>
      <c r="H94" s="8" t="n">
        <v>3199999.92</v>
      </c>
      <c r="I94" s="8" t="n">
        <v>666666.65</v>
      </c>
      <c r="J94" s="8" t="n">
        <v>399999.99</v>
      </c>
      <c r="K94" s="8" t="n">
        <v>-266666.66</v>
      </c>
      <c r="L94" s="8" t="n">
        <v>2799999.93</v>
      </c>
      <c r="M94" s="4" t="n">
        <v>22</v>
      </c>
      <c r="N94" s="4" t="inlineStr">
        <is>
          <t>1-30 dpd</t>
        </is>
      </c>
      <c r="O94" s="4" t="n">
        <v>5</v>
      </c>
    </row>
    <row r="95">
      <c r="A95" s="4" t="inlineStr">
        <is>
          <t>L1093</t>
        </is>
      </c>
      <c r="B95" s="4" t="inlineStr">
        <is>
          <t>Summit Works</t>
        </is>
      </c>
      <c r="C95" s="4" t="inlineStr">
        <is>
          <t>Food &amp; Beverage</t>
        </is>
      </c>
      <c r="D95" s="4" t="inlineStr">
        <is>
          <t>2026-02-10</t>
        </is>
      </c>
      <c r="E95" s="8" t="n">
        <v>1000000</v>
      </c>
      <c r="F95" s="4" t="n">
        <v>9</v>
      </c>
      <c r="G95" s="8" t="n">
        <v>129444.44</v>
      </c>
      <c r="H95" s="8" t="n">
        <v>1164999.96</v>
      </c>
      <c r="I95" s="8" t="n">
        <v>517777.76</v>
      </c>
      <c r="J95" s="8" t="n">
        <v>388333.32</v>
      </c>
      <c r="K95" s="8" t="n">
        <v>-129444.44</v>
      </c>
      <c r="L95" s="8" t="n">
        <v>776666.64</v>
      </c>
      <c r="M95" s="4" t="n">
        <v>0</v>
      </c>
      <c r="N95" s="4" t="inlineStr">
        <is>
          <t>Current</t>
        </is>
      </c>
      <c r="O95" s="4" t="n">
        <v>4</v>
      </c>
    </row>
    <row r="96">
      <c r="A96" s="4" t="inlineStr">
        <is>
          <t>L1094</t>
        </is>
      </c>
      <c r="B96" s="4" t="inlineStr">
        <is>
          <t>Metro Ventures</t>
        </is>
      </c>
      <c r="C96" s="4" t="inlineStr">
        <is>
          <t>Technology</t>
        </is>
      </c>
      <c r="D96" s="4" t="inlineStr">
        <is>
          <t>2025-01-26</t>
        </is>
      </c>
      <c r="E96" s="8" t="n">
        <v>1000000</v>
      </c>
      <c r="F96" s="4" t="n">
        <v>12</v>
      </c>
      <c r="G96" s="8" t="n">
        <v>105000</v>
      </c>
      <c r="H96" s="8" t="n">
        <v>1260000</v>
      </c>
      <c r="I96" s="8" t="n">
        <v>1260000</v>
      </c>
      <c r="J96" s="8" t="n">
        <v>1260000</v>
      </c>
      <c r="K96" s="8" t="n">
        <v>0</v>
      </c>
      <c r="L96" s="8" t="n">
        <v>0</v>
      </c>
      <c r="M96" s="4" t="n">
        <v>0</v>
      </c>
      <c r="N96" s="4" t="inlineStr">
        <is>
          <t>Current</t>
        </is>
      </c>
      <c r="O96" s="4" t="n">
        <v>17</v>
      </c>
    </row>
    <row r="97">
      <c r="A97" s="4" t="inlineStr">
        <is>
          <t>L1095</t>
        </is>
      </c>
      <c r="B97" s="4" t="inlineStr">
        <is>
          <t>Crown Group</t>
        </is>
      </c>
      <c r="C97" s="4" t="inlineStr">
        <is>
          <t>Agriculture</t>
        </is>
      </c>
      <c r="D97" s="4" t="inlineStr">
        <is>
          <t>2025-03-15</t>
        </is>
      </c>
      <c r="E97" s="8" t="n">
        <v>3000000</v>
      </c>
      <c r="F97" s="4" t="n">
        <v>24</v>
      </c>
      <c r="G97" s="8" t="n">
        <v>180000</v>
      </c>
      <c r="H97" s="8" t="n">
        <v>4320000</v>
      </c>
      <c r="I97" s="8" t="n">
        <v>2700000</v>
      </c>
      <c r="J97" s="8" t="n">
        <v>2520000</v>
      </c>
      <c r="K97" s="8" t="n">
        <v>-180000</v>
      </c>
      <c r="L97" s="8" t="n">
        <v>1800000</v>
      </c>
      <c r="M97" s="4" t="n">
        <v>0</v>
      </c>
      <c r="N97" s="4" t="inlineStr">
        <is>
          <t>Current</t>
        </is>
      </c>
      <c r="O97" s="4" t="n">
        <v>15</v>
      </c>
    </row>
    <row r="98">
      <c r="A98" s="4" t="inlineStr">
        <is>
          <t>L1096</t>
        </is>
      </c>
      <c r="B98" s="4" t="inlineStr">
        <is>
          <t>Crown Farms</t>
        </is>
      </c>
      <c r="C98" s="4" t="inlineStr">
        <is>
          <t>Manufacturing</t>
        </is>
      </c>
      <c r="D98" s="4" t="inlineStr">
        <is>
          <t>2025-02-11</t>
        </is>
      </c>
      <c r="E98" s="8" t="n">
        <v>1500000</v>
      </c>
      <c r="F98" s="4" t="n">
        <v>24</v>
      </c>
      <c r="G98" s="8" t="n">
        <v>85000</v>
      </c>
      <c r="H98" s="8" t="n">
        <v>2040000</v>
      </c>
      <c r="I98" s="8" t="n">
        <v>1360000</v>
      </c>
      <c r="J98" s="8" t="n">
        <v>1275000</v>
      </c>
      <c r="K98" s="8" t="n">
        <v>-85000</v>
      </c>
      <c r="L98" s="8" t="n">
        <v>765000</v>
      </c>
      <c r="M98" s="4" t="n">
        <v>0</v>
      </c>
      <c r="N98" s="4" t="inlineStr">
        <is>
          <t>Current</t>
        </is>
      </c>
      <c r="O98" s="4" t="n">
        <v>16</v>
      </c>
    </row>
    <row r="99">
      <c r="A99" s="4" t="inlineStr">
        <is>
          <t>L1097</t>
        </is>
      </c>
      <c r="B99" s="4" t="inlineStr">
        <is>
          <t>Verde Ventures</t>
        </is>
      </c>
      <c r="C99" s="4" t="inlineStr">
        <is>
          <t>Food &amp; Beverage</t>
        </is>
      </c>
      <c r="D99" s="4" t="inlineStr">
        <is>
          <t>2025-07-04</t>
        </is>
      </c>
      <c r="E99" s="8" t="n">
        <v>500000</v>
      </c>
      <c r="F99" s="4" t="n">
        <v>24</v>
      </c>
      <c r="G99" s="8" t="n">
        <v>33333.33</v>
      </c>
      <c r="H99" s="8" t="n">
        <v>799999.92</v>
      </c>
      <c r="I99" s="8" t="n">
        <v>366666.63</v>
      </c>
      <c r="J99" s="8" t="n">
        <v>266666.64</v>
      </c>
      <c r="K99" s="8" t="n">
        <v>-99999.99000000001</v>
      </c>
      <c r="L99" s="8" t="n">
        <v>533333.28</v>
      </c>
      <c r="M99" s="4" t="n">
        <v>58</v>
      </c>
      <c r="N99" s="4" t="inlineStr">
        <is>
          <t>31-90 dpd</t>
        </is>
      </c>
      <c r="O99" s="4" t="n">
        <v>11</v>
      </c>
    </row>
    <row r="100">
      <c r="A100" s="4" t="inlineStr">
        <is>
          <t>L1098</t>
        </is>
      </c>
      <c r="B100" s="4" t="inlineStr">
        <is>
          <t>Bright Ventures</t>
        </is>
      </c>
      <c r="C100" s="4" t="inlineStr">
        <is>
          <t>Agriculture</t>
        </is>
      </c>
      <c r="D100" s="4" t="inlineStr">
        <is>
          <t>2025-08-16</t>
        </is>
      </c>
      <c r="E100" s="8" t="n">
        <v>250000</v>
      </c>
      <c r="F100" s="4" t="n">
        <v>18</v>
      </c>
      <c r="G100" s="8" t="n">
        <v>19305.56</v>
      </c>
      <c r="H100" s="8" t="n">
        <v>347500.08</v>
      </c>
      <c r="I100" s="8" t="n">
        <v>193055.6</v>
      </c>
      <c r="J100" s="8" t="n">
        <v>57916.68</v>
      </c>
      <c r="K100" s="8" t="n">
        <v>-135138.92</v>
      </c>
      <c r="L100" s="8" t="n">
        <v>289583.4</v>
      </c>
      <c r="M100" s="4" t="n">
        <v>167</v>
      </c>
      <c r="N100" s="4" t="inlineStr">
        <is>
          <t>90+ dpd</t>
        </is>
      </c>
      <c r="O100" s="4" t="n">
        <v>10</v>
      </c>
    </row>
    <row r="101">
      <c r="A101" s="4" t="inlineStr">
        <is>
          <t>L1099</t>
        </is>
      </c>
      <c r="B101" s="4" t="inlineStr">
        <is>
          <t>Unity Logistics</t>
        </is>
      </c>
      <c r="C101" s="4" t="inlineStr">
        <is>
          <t>Agriculture</t>
        </is>
      </c>
      <c r="D101" s="4" t="inlineStr">
        <is>
          <t>2026-01-23</t>
        </is>
      </c>
      <c r="E101" s="8" t="n">
        <v>1000000</v>
      </c>
      <c r="F101" s="4" t="n">
        <v>9</v>
      </c>
      <c r="G101" s="8" t="n">
        <v>136111.11</v>
      </c>
      <c r="H101" s="8" t="n">
        <v>1224999.99</v>
      </c>
      <c r="I101" s="8" t="n">
        <v>680555.55</v>
      </c>
      <c r="J101" s="8" t="n">
        <v>544444.4399999999</v>
      </c>
      <c r="K101" s="8" t="n">
        <v>-136111.11</v>
      </c>
      <c r="L101" s="8" t="n">
        <v>680555.55</v>
      </c>
      <c r="M101" s="4" t="n">
        <v>0</v>
      </c>
      <c r="N101" s="4" t="inlineStr">
        <is>
          <t>Current</t>
        </is>
      </c>
      <c r="O101" s="4" t="n">
        <v>5</v>
      </c>
    </row>
    <row r="102">
      <c r="A102" s="4" t="inlineStr">
        <is>
          <t>L1100</t>
        </is>
      </c>
      <c r="B102" s="4" t="inlineStr">
        <is>
          <t>Crown Supplies</t>
        </is>
      </c>
      <c r="C102" s="4" t="inlineStr">
        <is>
          <t>Food &amp; Beverage</t>
        </is>
      </c>
      <c r="D102" s="4" t="inlineStr">
        <is>
          <t>2024-12-09</t>
        </is>
      </c>
      <c r="E102" s="8" t="n">
        <v>1000000</v>
      </c>
      <c r="F102" s="4" t="n">
        <v>24</v>
      </c>
      <c r="G102" s="8" t="n">
        <v>63333.33</v>
      </c>
      <c r="H102" s="8" t="n">
        <v>1519999.92</v>
      </c>
      <c r="I102" s="8" t="n">
        <v>1139999.94</v>
      </c>
      <c r="J102" s="8" t="n">
        <v>1076666.61</v>
      </c>
      <c r="K102" s="8" t="n">
        <v>-63333.33</v>
      </c>
      <c r="L102" s="8" t="n">
        <v>443333.31</v>
      </c>
      <c r="M102" s="4" t="n">
        <v>0</v>
      </c>
      <c r="N102" s="4" t="inlineStr">
        <is>
          <t>Current</t>
        </is>
      </c>
      <c r="O102" s="4" t="n">
        <v>18</v>
      </c>
    </row>
    <row r="103">
      <c r="A103" s="4" t="inlineStr">
        <is>
          <t>L1101</t>
        </is>
      </c>
      <c r="B103" s="4" t="inlineStr">
        <is>
          <t>Harvest Services</t>
        </is>
      </c>
      <c r="C103" s="4" t="inlineStr">
        <is>
          <t>Education</t>
        </is>
      </c>
      <c r="D103" s="4" t="inlineStr">
        <is>
          <t>2025-07-27</t>
        </is>
      </c>
      <c r="E103" s="8" t="n">
        <v>250000</v>
      </c>
      <c r="F103" s="4" t="n">
        <v>24</v>
      </c>
      <c r="G103" s="8" t="n">
        <v>15833.33</v>
      </c>
      <c r="H103" s="8" t="n">
        <v>379999.92</v>
      </c>
      <c r="I103" s="8" t="n">
        <v>174166.63</v>
      </c>
      <c r="J103" s="8" t="n">
        <v>126666.64</v>
      </c>
      <c r="K103" s="8" t="n">
        <v>-47499.99</v>
      </c>
      <c r="L103" s="8" t="n">
        <v>253333.28</v>
      </c>
      <c r="M103" s="4" t="n">
        <v>35</v>
      </c>
      <c r="N103" s="4" t="inlineStr">
        <is>
          <t>31-90 dpd</t>
        </is>
      </c>
      <c r="O103" s="4" t="n">
        <v>11</v>
      </c>
    </row>
    <row r="104">
      <c r="A104" s="4" t="inlineStr">
        <is>
          <t>L1102</t>
        </is>
      </c>
      <c r="B104" s="4" t="inlineStr">
        <is>
          <t>Pioneer Ventures</t>
        </is>
      </c>
      <c r="C104" s="4" t="inlineStr">
        <is>
          <t>Construction</t>
        </is>
      </c>
      <c r="D104" s="4" t="inlineStr">
        <is>
          <t>2024-12-03</t>
        </is>
      </c>
      <c r="E104" s="8" t="n">
        <v>1500000</v>
      </c>
      <c r="F104" s="4" t="n">
        <v>24</v>
      </c>
      <c r="G104" s="8" t="n">
        <v>85000</v>
      </c>
      <c r="H104" s="8" t="n">
        <v>2040000</v>
      </c>
      <c r="I104" s="8" t="n">
        <v>1530000</v>
      </c>
      <c r="J104" s="8" t="n">
        <v>1445000</v>
      </c>
      <c r="K104" s="8" t="n">
        <v>-85000</v>
      </c>
      <c r="L104" s="8" t="n">
        <v>595000</v>
      </c>
      <c r="M104" s="4" t="n">
        <v>0</v>
      </c>
      <c r="N104" s="4" t="inlineStr">
        <is>
          <t>Current</t>
        </is>
      </c>
      <c r="O104" s="4" t="n">
        <v>18</v>
      </c>
    </row>
    <row r="105">
      <c r="A105" s="4" t="inlineStr">
        <is>
          <t>L1103</t>
        </is>
      </c>
      <c r="B105" s="4" t="inlineStr">
        <is>
          <t>Bright Foods</t>
        </is>
      </c>
      <c r="C105" s="4" t="inlineStr">
        <is>
          <t>Logistics</t>
        </is>
      </c>
      <c r="D105" s="4" t="inlineStr">
        <is>
          <t>2025-11-03</t>
        </is>
      </c>
      <c r="E105" s="8" t="n">
        <v>1500000</v>
      </c>
      <c r="F105" s="4" t="n">
        <v>24</v>
      </c>
      <c r="G105" s="8" t="n">
        <v>100000</v>
      </c>
      <c r="H105" s="8" t="n">
        <v>2400000</v>
      </c>
      <c r="I105" s="8" t="n">
        <v>700000</v>
      </c>
      <c r="J105" s="8" t="n">
        <v>600000</v>
      </c>
      <c r="K105" s="8" t="n">
        <v>-100000</v>
      </c>
      <c r="L105" s="8" t="n">
        <v>1800000</v>
      </c>
      <c r="M105" s="4" t="n">
        <v>0</v>
      </c>
      <c r="N105" s="4" t="inlineStr">
        <is>
          <t>Current</t>
        </is>
      </c>
      <c r="O105" s="4" t="n">
        <v>7</v>
      </c>
    </row>
    <row r="106">
      <c r="A106" s="4" t="inlineStr">
        <is>
          <t>L1104</t>
        </is>
      </c>
      <c r="B106" s="4" t="inlineStr">
        <is>
          <t>Summit Stores</t>
        </is>
      </c>
      <c r="C106" s="4" t="inlineStr">
        <is>
          <t>Manufacturing</t>
        </is>
      </c>
      <c r="D106" s="4" t="inlineStr">
        <is>
          <t>2025-08-04</t>
        </is>
      </c>
      <c r="E106" s="8" t="n">
        <v>2000000</v>
      </c>
      <c r="F106" s="4" t="n">
        <v>18</v>
      </c>
      <c r="G106" s="8" t="n">
        <v>161111.11</v>
      </c>
      <c r="H106" s="8" t="n">
        <v>2899999.98</v>
      </c>
      <c r="I106" s="8" t="n">
        <v>1611111.1</v>
      </c>
      <c r="J106" s="8" t="n">
        <v>1449999.99</v>
      </c>
      <c r="K106" s="8" t="n">
        <v>-161111.11</v>
      </c>
      <c r="L106" s="8" t="n">
        <v>1449999.99</v>
      </c>
      <c r="M106" s="4" t="n">
        <v>0</v>
      </c>
      <c r="N106" s="4" t="inlineStr">
        <is>
          <t>Current</t>
        </is>
      </c>
      <c r="O106" s="4" t="n">
        <v>10</v>
      </c>
    </row>
    <row r="107">
      <c r="A107" s="4" t="inlineStr">
        <is>
          <t>L1105</t>
        </is>
      </c>
      <c r="B107" s="4" t="inlineStr">
        <is>
          <t>Bright Ventures</t>
        </is>
      </c>
      <c r="C107" s="4" t="inlineStr">
        <is>
          <t>Retail</t>
        </is>
      </c>
      <c r="D107" s="4" t="inlineStr">
        <is>
          <t>2025-05-18</t>
        </is>
      </c>
      <c r="E107" s="8" t="n">
        <v>3000000</v>
      </c>
      <c r="F107" s="4" t="n">
        <v>6</v>
      </c>
      <c r="G107" s="8" t="n">
        <v>545000</v>
      </c>
      <c r="H107" s="8" t="n">
        <v>3270000</v>
      </c>
      <c r="I107" s="8" t="n">
        <v>3270000</v>
      </c>
      <c r="J107" s="8" t="n">
        <v>3270000</v>
      </c>
      <c r="K107" s="8" t="n">
        <v>0</v>
      </c>
      <c r="L107" s="8" t="n">
        <v>0</v>
      </c>
      <c r="M107" s="4" t="n">
        <v>0</v>
      </c>
      <c r="N107" s="4" t="inlineStr">
        <is>
          <t>Current</t>
        </is>
      </c>
      <c r="O107" s="4" t="n">
        <v>13</v>
      </c>
    </row>
    <row r="108">
      <c r="A108" s="4" t="inlineStr">
        <is>
          <t>L1106</t>
        </is>
      </c>
      <c r="B108" s="4" t="inlineStr">
        <is>
          <t>Harvest Logistics</t>
        </is>
      </c>
      <c r="C108" s="4" t="inlineStr">
        <is>
          <t>Education</t>
        </is>
      </c>
      <c r="D108" s="4" t="inlineStr">
        <is>
          <t>2026-02-17</t>
        </is>
      </c>
      <c r="E108" s="8" t="n">
        <v>3000000</v>
      </c>
      <c r="F108" s="4" t="n">
        <v>24</v>
      </c>
      <c r="G108" s="8" t="n">
        <v>200000</v>
      </c>
      <c r="H108" s="8" t="n">
        <v>4800000</v>
      </c>
      <c r="I108" s="8" t="n">
        <v>800000</v>
      </c>
      <c r="J108" s="8" t="n">
        <v>600000</v>
      </c>
      <c r="K108" s="8" t="n">
        <v>-200000</v>
      </c>
      <c r="L108" s="8" t="n">
        <v>4200000</v>
      </c>
      <c r="M108" s="4" t="n">
        <v>0</v>
      </c>
      <c r="N108" s="4" t="inlineStr">
        <is>
          <t>Current</t>
        </is>
      </c>
      <c r="O108" s="4" t="n">
        <v>4</v>
      </c>
    </row>
    <row r="109">
      <c r="A109" s="4" t="inlineStr">
        <is>
          <t>L1107</t>
        </is>
      </c>
      <c r="B109" s="4" t="inlineStr">
        <is>
          <t>Lagoon Ventures</t>
        </is>
      </c>
      <c r="C109" s="4" t="inlineStr">
        <is>
          <t>Technology</t>
        </is>
      </c>
      <c r="D109" s="4" t="inlineStr">
        <is>
          <t>2025-04-02</t>
        </is>
      </c>
      <c r="E109" s="8" t="n">
        <v>1500000</v>
      </c>
      <c r="F109" s="4" t="n">
        <v>24</v>
      </c>
      <c r="G109" s="8" t="n">
        <v>100000</v>
      </c>
      <c r="H109" s="8" t="n">
        <v>2400000</v>
      </c>
      <c r="I109" s="8" t="n">
        <v>1400000</v>
      </c>
      <c r="J109" s="8" t="n">
        <v>400000</v>
      </c>
      <c r="K109" s="8" t="n">
        <v>-1000000</v>
      </c>
      <c r="L109" s="8" t="n">
        <v>2000000</v>
      </c>
      <c r="M109" s="4" t="n">
        <v>272</v>
      </c>
      <c r="N109" s="4" t="inlineStr">
        <is>
          <t>90+ dpd</t>
        </is>
      </c>
      <c r="O109" s="4" t="n">
        <v>14</v>
      </c>
    </row>
    <row r="110">
      <c r="A110" s="4" t="inlineStr">
        <is>
          <t>L1108</t>
        </is>
      </c>
      <c r="B110" s="4" t="inlineStr">
        <is>
          <t>Bright Traders</t>
        </is>
      </c>
      <c r="C110" s="4" t="inlineStr">
        <is>
          <t>Logistics</t>
        </is>
      </c>
      <c r="D110" s="4" t="inlineStr">
        <is>
          <t>2026-03-19</t>
        </is>
      </c>
      <c r="E110" s="8" t="n">
        <v>2000000</v>
      </c>
      <c r="F110" s="4" t="n">
        <v>24</v>
      </c>
      <c r="G110" s="8" t="n">
        <v>120000</v>
      </c>
      <c r="H110" s="8" t="n">
        <v>2880000</v>
      </c>
      <c r="I110" s="8" t="n">
        <v>360000</v>
      </c>
      <c r="J110" s="8" t="n">
        <v>240000</v>
      </c>
      <c r="K110" s="8" t="n">
        <v>-120000</v>
      </c>
      <c r="L110" s="8" t="n">
        <v>2640000</v>
      </c>
      <c r="M110" s="4" t="n">
        <v>0</v>
      </c>
      <c r="N110" s="4" t="inlineStr">
        <is>
          <t>Current</t>
        </is>
      </c>
      <c r="O110" s="4" t="n">
        <v>3</v>
      </c>
    </row>
    <row r="111">
      <c r="A111" s="4" t="inlineStr">
        <is>
          <t>L1109</t>
        </is>
      </c>
      <c r="B111" s="4" t="inlineStr">
        <is>
          <t>Crown Supplies</t>
        </is>
      </c>
      <c r="C111" s="4" t="inlineStr">
        <is>
          <t>Construction</t>
        </is>
      </c>
      <c r="D111" s="4" t="inlineStr">
        <is>
          <t>2025-02-04</t>
        </is>
      </c>
      <c r="E111" s="8" t="n">
        <v>1500000</v>
      </c>
      <c r="F111" s="4" t="n">
        <v>12</v>
      </c>
      <c r="G111" s="8" t="n">
        <v>157500</v>
      </c>
      <c r="H111" s="8" t="n">
        <v>1890000</v>
      </c>
      <c r="I111" s="8" t="n">
        <v>1890000</v>
      </c>
      <c r="J111" s="8" t="n">
        <v>630000</v>
      </c>
      <c r="K111" s="8" t="n">
        <v>-1260000</v>
      </c>
      <c r="L111" s="8" t="n">
        <v>1260000</v>
      </c>
      <c r="M111" s="4" t="n">
        <v>332</v>
      </c>
      <c r="N111" s="4" t="inlineStr">
        <is>
          <t>90+ dpd</t>
        </is>
      </c>
      <c r="O111" s="4" t="n">
        <v>16</v>
      </c>
    </row>
    <row r="112">
      <c r="A112" s="4" t="inlineStr">
        <is>
          <t>L1110</t>
        </is>
      </c>
      <c r="B112" s="4" t="inlineStr">
        <is>
          <t>Crown Stores</t>
        </is>
      </c>
      <c r="C112" s="4" t="inlineStr">
        <is>
          <t>Food &amp; Beverage</t>
        </is>
      </c>
      <c r="D112" s="4" t="inlineStr">
        <is>
          <t>2025-01-23</t>
        </is>
      </c>
      <c r="E112" s="8" t="n">
        <v>1000000</v>
      </c>
      <c r="F112" s="4" t="n">
        <v>6</v>
      </c>
      <c r="G112" s="8" t="n">
        <v>191666.67</v>
      </c>
      <c r="H112" s="8" t="n">
        <v>1150000.02</v>
      </c>
      <c r="I112" s="8" t="n">
        <v>1150000.02</v>
      </c>
      <c r="J112" s="8" t="n">
        <v>1150000.02</v>
      </c>
      <c r="K112" s="8" t="n">
        <v>0</v>
      </c>
      <c r="L112" s="8" t="n">
        <v>0</v>
      </c>
      <c r="M112" s="4" t="n">
        <v>0</v>
      </c>
      <c r="N112" s="4" t="inlineStr">
        <is>
          <t>Current</t>
        </is>
      </c>
      <c r="O112" s="4" t="n">
        <v>17</v>
      </c>
    </row>
    <row r="113">
      <c r="A113" s="4" t="inlineStr">
        <is>
          <t>L1111</t>
        </is>
      </c>
      <c r="B113" s="4" t="inlineStr">
        <is>
          <t>Nova Enterprises</t>
        </is>
      </c>
      <c r="C113" s="4" t="inlineStr">
        <is>
          <t>Construction</t>
        </is>
      </c>
      <c r="D113" s="4" t="inlineStr">
        <is>
          <t>2024-12-08</t>
        </is>
      </c>
      <c r="E113" s="8" t="n">
        <v>250000</v>
      </c>
      <c r="F113" s="4" t="n">
        <v>18</v>
      </c>
      <c r="G113" s="8" t="n">
        <v>19305.56</v>
      </c>
      <c r="H113" s="8" t="n">
        <v>347500.08</v>
      </c>
      <c r="I113" s="8" t="n">
        <v>347500.08</v>
      </c>
      <c r="J113" s="8" t="n">
        <v>328194.52</v>
      </c>
      <c r="K113" s="8" t="n">
        <v>-19305.56</v>
      </c>
      <c r="L113" s="8" t="n">
        <v>19305.56</v>
      </c>
      <c r="M113" s="4" t="n">
        <v>0</v>
      </c>
      <c r="N113" s="4" t="inlineStr">
        <is>
          <t>Current</t>
        </is>
      </c>
      <c r="O113" s="4" t="n">
        <v>18</v>
      </c>
    </row>
    <row r="114">
      <c r="A114" s="4" t="inlineStr">
        <is>
          <t>L1112</t>
        </is>
      </c>
      <c r="B114" s="4" t="inlineStr">
        <is>
          <t>Bright Foods</t>
        </is>
      </c>
      <c r="C114" s="4" t="inlineStr">
        <is>
          <t>Education</t>
        </is>
      </c>
      <c r="D114" s="4" t="inlineStr">
        <is>
          <t>2025-09-02</t>
        </is>
      </c>
      <c r="E114" s="8" t="n">
        <v>250000</v>
      </c>
      <c r="F114" s="4" t="n">
        <v>18</v>
      </c>
      <c r="G114" s="8" t="n">
        <v>17638.89</v>
      </c>
      <c r="H114" s="8" t="n">
        <v>317500.02</v>
      </c>
      <c r="I114" s="8" t="n">
        <v>158750.01</v>
      </c>
      <c r="J114" s="8" t="n">
        <v>105833.34</v>
      </c>
      <c r="K114" s="8" t="n">
        <v>-52916.67</v>
      </c>
      <c r="L114" s="8" t="n">
        <v>211666.68</v>
      </c>
      <c r="M114" s="4" t="n">
        <v>60</v>
      </c>
      <c r="N114" s="4" t="inlineStr">
        <is>
          <t>31-90 dpd</t>
        </is>
      </c>
      <c r="O114" s="4" t="n">
        <v>9</v>
      </c>
    </row>
    <row r="115">
      <c r="A115" s="4" t="inlineStr">
        <is>
          <t>L1113</t>
        </is>
      </c>
      <c r="B115" s="4" t="inlineStr">
        <is>
          <t>Prime Services</t>
        </is>
      </c>
      <c r="C115" s="4" t="inlineStr">
        <is>
          <t>Food &amp; Beverage</t>
        </is>
      </c>
      <c r="D115" s="4" t="inlineStr">
        <is>
          <t>2025-08-20</t>
        </is>
      </c>
      <c r="E115" s="8" t="n">
        <v>750000</v>
      </c>
      <c r="F115" s="4" t="n">
        <v>6</v>
      </c>
      <c r="G115" s="8" t="n">
        <v>138750</v>
      </c>
      <c r="H115" s="8" t="n">
        <v>832500</v>
      </c>
      <c r="I115" s="8" t="n">
        <v>832500</v>
      </c>
      <c r="J115" s="8" t="n">
        <v>832500</v>
      </c>
      <c r="K115" s="8" t="n">
        <v>0</v>
      </c>
      <c r="L115" s="8" t="n">
        <v>0</v>
      </c>
      <c r="M115" s="4" t="n">
        <v>0</v>
      </c>
      <c r="N115" s="4" t="inlineStr">
        <is>
          <t>Current</t>
        </is>
      </c>
      <c r="O115" s="4" t="n">
        <v>10</v>
      </c>
    </row>
    <row r="116">
      <c r="A116" s="4" t="inlineStr">
        <is>
          <t>L1114</t>
        </is>
      </c>
      <c r="B116" s="4" t="inlineStr">
        <is>
          <t>Crown Logistics</t>
        </is>
      </c>
      <c r="C116" s="4" t="inlineStr">
        <is>
          <t>Construction</t>
        </is>
      </c>
      <c r="D116" s="4" t="inlineStr">
        <is>
          <t>2025-06-27</t>
        </is>
      </c>
      <c r="E116" s="8" t="n">
        <v>1500000</v>
      </c>
      <c r="F116" s="4" t="n">
        <v>12</v>
      </c>
      <c r="G116" s="8" t="n">
        <v>157500</v>
      </c>
      <c r="H116" s="8" t="n">
        <v>1890000</v>
      </c>
      <c r="I116" s="8" t="n">
        <v>1890000</v>
      </c>
      <c r="J116" s="8" t="n">
        <v>1732500</v>
      </c>
      <c r="K116" s="8" t="n">
        <v>-157500</v>
      </c>
      <c r="L116" s="8" t="n">
        <v>157500</v>
      </c>
      <c r="M116" s="4" t="n">
        <v>0</v>
      </c>
      <c r="N116" s="4" t="inlineStr">
        <is>
          <t>Current</t>
        </is>
      </c>
      <c r="O116" s="4" t="n">
        <v>12</v>
      </c>
    </row>
    <row r="117">
      <c r="A117" s="4" t="inlineStr">
        <is>
          <t>L1115</t>
        </is>
      </c>
      <c r="B117" s="4" t="inlineStr">
        <is>
          <t>Nova Supplies</t>
        </is>
      </c>
      <c r="C117" s="4" t="inlineStr">
        <is>
          <t>Fashion</t>
        </is>
      </c>
      <c r="D117" s="4" t="inlineStr">
        <is>
          <t>2026-03-16</t>
        </is>
      </c>
      <c r="E117" s="8" t="n">
        <v>1000000</v>
      </c>
      <c r="F117" s="4" t="n">
        <v>6</v>
      </c>
      <c r="G117" s="8" t="n">
        <v>181666.67</v>
      </c>
      <c r="H117" s="8" t="n">
        <v>1090000.02</v>
      </c>
      <c r="I117" s="8" t="n">
        <v>545000.01</v>
      </c>
      <c r="J117" s="8" t="n">
        <v>363333.34</v>
      </c>
      <c r="K117" s="8" t="n">
        <v>-181666.67</v>
      </c>
      <c r="L117" s="8" t="n">
        <v>726666.6800000001</v>
      </c>
      <c r="M117" s="4" t="n">
        <v>0</v>
      </c>
      <c r="N117" s="4" t="inlineStr">
        <is>
          <t>Current</t>
        </is>
      </c>
      <c r="O117" s="4" t="n">
        <v>3</v>
      </c>
    </row>
    <row r="118">
      <c r="A118" s="4" t="inlineStr">
        <is>
          <t>L1116</t>
        </is>
      </c>
      <c r="B118" s="4" t="inlineStr">
        <is>
          <t>Pioneer Traders</t>
        </is>
      </c>
      <c r="C118" s="4" t="inlineStr">
        <is>
          <t>Manufacturing</t>
        </is>
      </c>
      <c r="D118" s="4" t="inlineStr">
        <is>
          <t>2025-07-16</t>
        </is>
      </c>
      <c r="E118" s="8" t="n">
        <v>1000000</v>
      </c>
      <c r="F118" s="4" t="n">
        <v>18</v>
      </c>
      <c r="G118" s="8" t="n">
        <v>73888.89</v>
      </c>
      <c r="H118" s="8" t="n">
        <v>1330000.02</v>
      </c>
      <c r="I118" s="8" t="n">
        <v>812777.79</v>
      </c>
      <c r="J118" s="8" t="n">
        <v>591111.12</v>
      </c>
      <c r="K118" s="8" t="n">
        <v>-221666.67</v>
      </c>
      <c r="L118" s="8" t="n">
        <v>738888.9</v>
      </c>
      <c r="M118" s="4" t="n">
        <v>46</v>
      </c>
      <c r="N118" s="4" t="inlineStr">
        <is>
          <t>31-90 dpd</t>
        </is>
      </c>
      <c r="O118" s="4" t="n">
        <v>11</v>
      </c>
    </row>
    <row r="119">
      <c r="A119" s="4" t="inlineStr">
        <is>
          <t>L1117</t>
        </is>
      </c>
      <c r="B119" s="4" t="inlineStr">
        <is>
          <t>Metro Farms</t>
        </is>
      </c>
      <c r="C119" s="4" t="inlineStr">
        <is>
          <t>Agriculture</t>
        </is>
      </c>
      <c r="D119" s="4" t="inlineStr">
        <is>
          <t>2025-02-05</t>
        </is>
      </c>
      <c r="E119" s="8" t="n">
        <v>1000000</v>
      </c>
      <c r="F119" s="4" t="n">
        <v>12</v>
      </c>
      <c r="G119" s="8" t="n">
        <v>105000</v>
      </c>
      <c r="H119" s="8" t="n">
        <v>1260000</v>
      </c>
      <c r="I119" s="8" t="n">
        <v>1260000</v>
      </c>
      <c r="J119" s="8" t="n">
        <v>945000</v>
      </c>
      <c r="K119" s="8" t="n">
        <v>-315000</v>
      </c>
      <c r="L119" s="8" t="n">
        <v>315000</v>
      </c>
      <c r="M119" s="4" t="n">
        <v>178</v>
      </c>
      <c r="N119" s="4" t="inlineStr">
        <is>
          <t>90+ dpd</t>
        </is>
      </c>
      <c r="O119" s="4" t="n">
        <v>16</v>
      </c>
    </row>
    <row r="120">
      <c r="A120" s="4" t="inlineStr">
        <is>
          <t>L1118</t>
        </is>
      </c>
      <c r="B120" s="4" t="inlineStr">
        <is>
          <t>Harvest Ventures</t>
        </is>
      </c>
      <c r="C120" s="4" t="inlineStr">
        <is>
          <t>Fashion</t>
        </is>
      </c>
      <c r="D120" s="4" t="inlineStr">
        <is>
          <t>2025-02-04</t>
        </is>
      </c>
      <c r="E120" s="8" t="n">
        <v>3000000</v>
      </c>
      <c r="F120" s="4" t="n">
        <v>6</v>
      </c>
      <c r="G120" s="8" t="n">
        <v>575000</v>
      </c>
      <c r="H120" s="8" t="n">
        <v>3450000</v>
      </c>
      <c r="I120" s="8" t="n">
        <v>3450000</v>
      </c>
      <c r="J120" s="8" t="n">
        <v>1725000</v>
      </c>
      <c r="K120" s="8" t="n">
        <v>-1725000</v>
      </c>
      <c r="L120" s="8" t="n">
        <v>1725000</v>
      </c>
      <c r="M120" s="4" t="n">
        <v>362</v>
      </c>
      <c r="N120" s="4" t="inlineStr">
        <is>
          <t>90+ dpd</t>
        </is>
      </c>
      <c r="O120" s="4" t="n">
        <v>16</v>
      </c>
    </row>
    <row r="121">
      <c r="A121" s="4" t="inlineStr">
        <is>
          <t>L1119</t>
        </is>
      </c>
      <c r="B121" s="4" t="inlineStr">
        <is>
          <t>Verde Works</t>
        </is>
      </c>
      <c r="C121" s="4" t="inlineStr">
        <is>
          <t>Agriculture</t>
        </is>
      </c>
      <c r="D121" s="4" t="inlineStr">
        <is>
          <t>2025-11-12</t>
        </is>
      </c>
      <c r="E121" s="8" t="n">
        <v>2000000</v>
      </c>
      <c r="F121" s="4" t="n">
        <v>18</v>
      </c>
      <c r="G121" s="8" t="n">
        <v>147777.78</v>
      </c>
      <c r="H121" s="8" t="n">
        <v>2660000.04</v>
      </c>
      <c r="I121" s="8" t="n">
        <v>1034444.46</v>
      </c>
      <c r="J121" s="8" t="n">
        <v>295555.56</v>
      </c>
      <c r="K121" s="8" t="n">
        <v>-738888.9</v>
      </c>
      <c r="L121" s="8" t="n">
        <v>2364444.48</v>
      </c>
      <c r="M121" s="4" t="n">
        <v>109</v>
      </c>
      <c r="N121" s="4" t="inlineStr">
        <is>
          <t>90+ dpd</t>
        </is>
      </c>
      <c r="O121" s="4" t="n">
        <v>7</v>
      </c>
    </row>
    <row r="122">
      <c r="A122" s="4" t="inlineStr">
        <is>
          <t>L1120</t>
        </is>
      </c>
      <c r="B122" s="4" t="inlineStr">
        <is>
          <t>Verde Group</t>
        </is>
      </c>
      <c r="C122" s="4" t="inlineStr">
        <is>
          <t>Fashion</t>
        </is>
      </c>
      <c r="D122" s="4" t="inlineStr">
        <is>
          <t>2025-02-12</t>
        </is>
      </c>
      <c r="E122" s="8" t="n">
        <v>2000000</v>
      </c>
      <c r="F122" s="4" t="n">
        <v>9</v>
      </c>
      <c r="G122" s="8" t="n">
        <v>272222.22</v>
      </c>
      <c r="H122" s="8" t="n">
        <v>2449999.98</v>
      </c>
      <c r="I122" s="8" t="n">
        <v>2449999.98</v>
      </c>
      <c r="J122" s="8" t="n">
        <v>2449999.98</v>
      </c>
      <c r="K122" s="8" t="n">
        <v>0</v>
      </c>
      <c r="L122" s="8" t="n">
        <v>0</v>
      </c>
      <c r="M122" s="4" t="n">
        <v>0</v>
      </c>
      <c r="N122" s="4" t="inlineStr">
        <is>
          <t>Current</t>
        </is>
      </c>
      <c r="O122" s="4" t="n">
        <v>16</v>
      </c>
    </row>
    <row r="123">
      <c r="A123" s="4" t="inlineStr">
        <is>
          <t>L1121</t>
        </is>
      </c>
      <c r="B123" s="4" t="inlineStr">
        <is>
          <t>Unity Ventures</t>
        </is>
      </c>
      <c r="C123" s="4" t="inlineStr">
        <is>
          <t>Logistics</t>
        </is>
      </c>
      <c r="D123" s="4" t="inlineStr">
        <is>
          <t>2026-04-01</t>
        </is>
      </c>
      <c r="E123" s="8" t="n">
        <v>750000</v>
      </c>
      <c r="F123" s="4" t="n">
        <v>12</v>
      </c>
      <c r="G123" s="8" t="n">
        <v>76250</v>
      </c>
      <c r="H123" s="8" t="n">
        <v>915000</v>
      </c>
      <c r="I123" s="8" t="n">
        <v>152500</v>
      </c>
      <c r="J123" s="8" t="n">
        <v>76250</v>
      </c>
      <c r="K123" s="8" t="n">
        <v>-76250</v>
      </c>
      <c r="L123" s="8" t="n">
        <v>838750</v>
      </c>
      <c r="M123" s="4" t="n">
        <v>0</v>
      </c>
      <c r="N123" s="4" t="inlineStr">
        <is>
          <t>Current</t>
        </is>
      </c>
      <c r="O123" s="4" t="n">
        <v>2</v>
      </c>
    </row>
    <row r="124">
      <c r="A124" s="4" t="inlineStr">
        <is>
          <t>L1122</t>
        </is>
      </c>
      <c r="B124" s="4" t="inlineStr">
        <is>
          <t>Pioneer Supplies</t>
        </is>
      </c>
      <c r="C124" s="4" t="inlineStr">
        <is>
          <t>Construction</t>
        </is>
      </c>
      <c r="D124" s="4" t="inlineStr">
        <is>
          <t>2025-01-16</t>
        </is>
      </c>
      <c r="E124" s="8" t="n">
        <v>750000</v>
      </c>
      <c r="F124" s="4" t="n">
        <v>12</v>
      </c>
      <c r="G124" s="8" t="n">
        <v>78750</v>
      </c>
      <c r="H124" s="8" t="n">
        <v>945000</v>
      </c>
      <c r="I124" s="8" t="n">
        <v>945000</v>
      </c>
      <c r="J124" s="8" t="n">
        <v>945000</v>
      </c>
      <c r="K124" s="8" t="n">
        <v>0</v>
      </c>
      <c r="L124" s="8" t="n">
        <v>0</v>
      </c>
      <c r="M124" s="4" t="n">
        <v>0</v>
      </c>
      <c r="N124" s="4" t="inlineStr">
        <is>
          <t>Current</t>
        </is>
      </c>
      <c r="O124" s="4" t="n">
        <v>17</v>
      </c>
    </row>
    <row r="125">
      <c r="A125" s="4" t="inlineStr">
        <is>
          <t>L1123</t>
        </is>
      </c>
      <c r="B125" s="4" t="inlineStr">
        <is>
          <t>Sterling Holdings</t>
        </is>
      </c>
      <c r="C125" s="4" t="inlineStr">
        <is>
          <t>Health</t>
        </is>
      </c>
      <c r="D125" s="4" t="inlineStr">
        <is>
          <t>2025-10-18</t>
        </is>
      </c>
      <c r="E125" s="8" t="n">
        <v>1500000</v>
      </c>
      <c r="F125" s="4" t="n">
        <v>9</v>
      </c>
      <c r="G125" s="8" t="n">
        <v>189166.67</v>
      </c>
      <c r="H125" s="8" t="n">
        <v>1702500.03</v>
      </c>
      <c r="I125" s="8" t="n">
        <v>1513333.36</v>
      </c>
      <c r="J125" s="8" t="n">
        <v>1513333.36</v>
      </c>
      <c r="K125" s="8" t="n">
        <v>0</v>
      </c>
      <c r="L125" s="8" t="n">
        <v>189166.67</v>
      </c>
      <c r="M125" s="4" t="n">
        <v>0</v>
      </c>
      <c r="N125" s="4" t="inlineStr">
        <is>
          <t>Current</t>
        </is>
      </c>
      <c r="O125" s="4" t="n">
        <v>8</v>
      </c>
    </row>
    <row r="126">
      <c r="A126" s="4" t="inlineStr">
        <is>
          <t>L1124</t>
        </is>
      </c>
      <c r="B126" s="4" t="inlineStr">
        <is>
          <t>Metro Works</t>
        </is>
      </c>
      <c r="C126" s="4" t="inlineStr">
        <is>
          <t>Health</t>
        </is>
      </c>
      <c r="D126" s="4" t="inlineStr">
        <is>
          <t>2025-03-12</t>
        </is>
      </c>
      <c r="E126" s="8" t="n">
        <v>1000000</v>
      </c>
      <c r="F126" s="4" t="n">
        <v>18</v>
      </c>
      <c r="G126" s="8" t="n">
        <v>77222.22</v>
      </c>
      <c r="H126" s="8" t="n">
        <v>1389999.96</v>
      </c>
      <c r="I126" s="8" t="n">
        <v>1158333.3</v>
      </c>
      <c r="J126" s="8" t="n">
        <v>1158333.3</v>
      </c>
      <c r="K126" s="8" t="n">
        <v>0</v>
      </c>
      <c r="L126" s="8" t="n">
        <v>231666.66</v>
      </c>
      <c r="M126" s="4" t="n">
        <v>0</v>
      </c>
      <c r="N126" s="4" t="inlineStr">
        <is>
          <t>Current</t>
        </is>
      </c>
      <c r="O126" s="4" t="n">
        <v>15</v>
      </c>
    </row>
    <row r="127">
      <c r="A127" s="4" t="inlineStr">
        <is>
          <t>L1125</t>
        </is>
      </c>
      <c r="B127" s="4" t="inlineStr">
        <is>
          <t>Lagoon Farms</t>
        </is>
      </c>
      <c r="C127" s="4" t="inlineStr">
        <is>
          <t>Health</t>
        </is>
      </c>
      <c r="D127" s="4" t="inlineStr">
        <is>
          <t>2026-02-20</t>
        </is>
      </c>
      <c r="E127" s="8" t="n">
        <v>1000000</v>
      </c>
      <c r="F127" s="4" t="n">
        <v>24</v>
      </c>
      <c r="G127" s="8" t="n">
        <v>56666.67</v>
      </c>
      <c r="H127" s="8" t="n">
        <v>1360000.08</v>
      </c>
      <c r="I127" s="8" t="n">
        <v>226666.68</v>
      </c>
      <c r="J127" s="8" t="n">
        <v>170000.01</v>
      </c>
      <c r="K127" s="8" t="n">
        <v>-56666.67</v>
      </c>
      <c r="L127" s="8" t="n">
        <v>1190000.07</v>
      </c>
      <c r="M127" s="4" t="n">
        <v>0</v>
      </c>
      <c r="N127" s="4" t="inlineStr">
        <is>
          <t>Current</t>
        </is>
      </c>
      <c r="O127" s="4" t="n">
        <v>4</v>
      </c>
    </row>
    <row r="128">
      <c r="A128" s="4" t="inlineStr">
        <is>
          <t>L1126</t>
        </is>
      </c>
      <c r="B128" s="4" t="inlineStr">
        <is>
          <t>Coastal Supplies</t>
        </is>
      </c>
      <c r="C128" s="4" t="inlineStr">
        <is>
          <t>Education</t>
        </is>
      </c>
      <c r="D128" s="4" t="inlineStr">
        <is>
          <t>2026-01-15</t>
        </is>
      </c>
      <c r="E128" s="8" t="n">
        <v>500000</v>
      </c>
      <c r="F128" s="4" t="n">
        <v>18</v>
      </c>
      <c r="G128" s="8" t="n">
        <v>35277.78</v>
      </c>
      <c r="H128" s="8" t="n">
        <v>635000.04</v>
      </c>
      <c r="I128" s="8" t="n">
        <v>176388.9</v>
      </c>
      <c r="J128" s="8" t="n">
        <v>141111.12</v>
      </c>
      <c r="K128" s="8" t="n">
        <v>-35277.78</v>
      </c>
      <c r="L128" s="8" t="n">
        <v>493888.92</v>
      </c>
      <c r="M128" s="4" t="n">
        <v>0</v>
      </c>
      <c r="N128" s="4" t="inlineStr">
        <is>
          <t>Current</t>
        </is>
      </c>
      <c r="O128" s="4" t="n">
        <v>5</v>
      </c>
    </row>
    <row r="129">
      <c r="A129" s="4" t="inlineStr">
        <is>
          <t>L1127</t>
        </is>
      </c>
      <c r="B129" s="4" t="inlineStr">
        <is>
          <t>Prime Farms</t>
        </is>
      </c>
      <c r="C129" s="4" t="inlineStr">
        <is>
          <t>Education</t>
        </is>
      </c>
      <c r="D129" s="4" t="inlineStr">
        <is>
          <t>2025-06-14</t>
        </is>
      </c>
      <c r="E129" s="8" t="n">
        <v>250000</v>
      </c>
      <c r="F129" s="4" t="n">
        <v>6</v>
      </c>
      <c r="G129" s="8" t="n">
        <v>45416.67</v>
      </c>
      <c r="H129" s="8" t="n">
        <v>272500.02</v>
      </c>
      <c r="I129" s="8" t="n">
        <v>272500.02</v>
      </c>
      <c r="J129" s="8" t="n">
        <v>227083.35</v>
      </c>
      <c r="K129" s="8" t="n">
        <v>-45416.67</v>
      </c>
      <c r="L129" s="8" t="n">
        <v>45416.67</v>
      </c>
      <c r="M129" s="4" t="n">
        <v>169</v>
      </c>
      <c r="N129" s="4" t="inlineStr">
        <is>
          <t>90+ dpd</t>
        </is>
      </c>
      <c r="O129" s="4" t="n">
        <v>12</v>
      </c>
    </row>
    <row r="130">
      <c r="A130" s="4" t="inlineStr">
        <is>
          <t>L1128</t>
        </is>
      </c>
      <c r="B130" s="4" t="inlineStr">
        <is>
          <t>Coastal Traders</t>
        </is>
      </c>
      <c r="C130" s="4" t="inlineStr">
        <is>
          <t>Food &amp; Beverage</t>
        </is>
      </c>
      <c r="D130" s="4" t="inlineStr">
        <is>
          <t>2026-02-02</t>
        </is>
      </c>
      <c r="E130" s="8" t="n">
        <v>250000</v>
      </c>
      <c r="F130" s="4" t="n">
        <v>9</v>
      </c>
      <c r="G130" s="8" t="n">
        <v>33194.44</v>
      </c>
      <c r="H130" s="8" t="n">
        <v>298749.96</v>
      </c>
      <c r="I130" s="8" t="n">
        <v>132777.76</v>
      </c>
      <c r="J130" s="8" t="n">
        <v>99583.32000000001</v>
      </c>
      <c r="K130" s="8" t="n">
        <v>-33194.44</v>
      </c>
      <c r="L130" s="8" t="n">
        <v>199166.64</v>
      </c>
      <c r="M130" s="4" t="n">
        <v>0</v>
      </c>
      <c r="N130" s="4" t="inlineStr">
        <is>
          <t>Current</t>
        </is>
      </c>
      <c r="O130" s="4" t="n">
        <v>4</v>
      </c>
    </row>
    <row r="131">
      <c r="A131" s="4" t="inlineStr">
        <is>
          <t>L1129</t>
        </is>
      </c>
      <c r="B131" s="4" t="inlineStr">
        <is>
          <t>Bright Traders</t>
        </is>
      </c>
      <c r="C131" s="4" t="inlineStr">
        <is>
          <t>Education</t>
        </is>
      </c>
      <c r="D131" s="4" t="inlineStr">
        <is>
          <t>2026-01-09</t>
        </is>
      </c>
      <c r="E131" s="8" t="n">
        <v>250000</v>
      </c>
      <c r="F131" s="4" t="n">
        <v>18</v>
      </c>
      <c r="G131" s="8" t="n">
        <v>20138.89</v>
      </c>
      <c r="H131" s="8" t="n">
        <v>362500.02</v>
      </c>
      <c r="I131" s="8" t="n">
        <v>100694.45</v>
      </c>
      <c r="J131" s="8" t="n">
        <v>80555.56</v>
      </c>
      <c r="K131" s="8" t="n">
        <v>-20138.89</v>
      </c>
      <c r="L131" s="8" t="n">
        <v>281944.46</v>
      </c>
      <c r="M131" s="4" t="n">
        <v>0</v>
      </c>
      <c r="N131" s="4" t="inlineStr">
        <is>
          <t>Current</t>
        </is>
      </c>
      <c r="O131" s="4" t="n">
        <v>5</v>
      </c>
    </row>
    <row r="132">
      <c r="A132" s="4" t="inlineStr">
        <is>
          <t>L1130</t>
        </is>
      </c>
      <c r="B132" s="4" t="inlineStr">
        <is>
          <t>Summit Foods</t>
        </is>
      </c>
      <c r="C132" s="4" t="inlineStr">
        <is>
          <t>Construction</t>
        </is>
      </c>
      <c r="D132" s="4" t="inlineStr">
        <is>
          <t>2025-12-24</t>
        </is>
      </c>
      <c r="E132" s="8" t="n">
        <v>750000</v>
      </c>
      <c r="F132" s="4" t="n">
        <v>9</v>
      </c>
      <c r="G132" s="8" t="n">
        <v>99583.33</v>
      </c>
      <c r="H132" s="8" t="n">
        <v>896249.97</v>
      </c>
      <c r="I132" s="8" t="n">
        <v>597499.98</v>
      </c>
      <c r="J132" s="8" t="n">
        <v>438166.65</v>
      </c>
      <c r="K132" s="8" t="n">
        <v>-159333.33</v>
      </c>
      <c r="L132" s="8" t="n">
        <v>458083.32</v>
      </c>
      <c r="M132" s="4" t="n">
        <v>8</v>
      </c>
      <c r="N132" s="4" t="inlineStr">
        <is>
          <t>1-30 dpd</t>
        </is>
      </c>
      <c r="O132" s="4" t="n">
        <v>6</v>
      </c>
    </row>
    <row r="133">
      <c r="A133" s="4" t="inlineStr">
        <is>
          <t>L1131</t>
        </is>
      </c>
      <c r="B133" s="4" t="inlineStr">
        <is>
          <t>Nova Stores</t>
        </is>
      </c>
      <c r="C133" s="4" t="inlineStr">
        <is>
          <t>Manufacturing</t>
        </is>
      </c>
      <c r="D133" s="4" t="inlineStr">
        <is>
          <t>2025-12-04</t>
        </is>
      </c>
      <c r="E133" s="8" t="n">
        <v>1000000</v>
      </c>
      <c r="F133" s="4" t="n">
        <v>9</v>
      </c>
      <c r="G133" s="8" t="n">
        <v>132777.78</v>
      </c>
      <c r="H133" s="8" t="n">
        <v>1195000.02</v>
      </c>
      <c r="I133" s="8" t="n">
        <v>796666.6800000001</v>
      </c>
      <c r="J133" s="8" t="n">
        <v>663888.9</v>
      </c>
      <c r="K133" s="8" t="n">
        <v>-132777.78</v>
      </c>
      <c r="L133" s="8" t="n">
        <v>531111.12</v>
      </c>
      <c r="M133" s="4" t="n">
        <v>0</v>
      </c>
      <c r="N133" s="4" t="inlineStr">
        <is>
          <t>Current</t>
        </is>
      </c>
      <c r="O133" s="4" t="n">
        <v>6</v>
      </c>
    </row>
    <row r="134">
      <c r="A134" s="4" t="inlineStr">
        <is>
          <t>L1132</t>
        </is>
      </c>
      <c r="B134" s="4" t="inlineStr">
        <is>
          <t>Pioneer Ventures</t>
        </is>
      </c>
      <c r="C134" s="4" t="inlineStr">
        <is>
          <t>Technology</t>
        </is>
      </c>
      <c r="D134" s="4" t="inlineStr">
        <is>
          <t>2025-08-21</t>
        </is>
      </c>
      <c r="E134" s="8" t="n">
        <v>750000</v>
      </c>
      <c r="F134" s="4" t="n">
        <v>9</v>
      </c>
      <c r="G134" s="8" t="n">
        <v>102083.33</v>
      </c>
      <c r="H134" s="8" t="n">
        <v>918749.97</v>
      </c>
      <c r="I134" s="8" t="n">
        <v>918749.97</v>
      </c>
      <c r="J134" s="8" t="n">
        <v>918749.97</v>
      </c>
      <c r="K134" s="8" t="n">
        <v>0</v>
      </c>
      <c r="L134" s="8" t="n">
        <v>0</v>
      </c>
      <c r="M134" s="4" t="n">
        <v>0</v>
      </c>
      <c r="N134" s="4" t="inlineStr">
        <is>
          <t>Current</t>
        </is>
      </c>
      <c r="O134" s="4" t="n">
        <v>10</v>
      </c>
    </row>
    <row r="135">
      <c r="A135" s="4" t="inlineStr">
        <is>
          <t>L1133</t>
        </is>
      </c>
      <c r="B135" s="4" t="inlineStr">
        <is>
          <t>Bright Enterprises</t>
        </is>
      </c>
      <c r="C135" s="4" t="inlineStr">
        <is>
          <t>Logistics</t>
        </is>
      </c>
      <c r="D135" s="4" t="inlineStr">
        <is>
          <t>2026-01-11</t>
        </is>
      </c>
      <c r="E135" s="8" t="n">
        <v>3000000</v>
      </c>
      <c r="F135" s="4" t="n">
        <v>18</v>
      </c>
      <c r="G135" s="8" t="n">
        <v>221666.67</v>
      </c>
      <c r="H135" s="8" t="n">
        <v>3990000.06</v>
      </c>
      <c r="I135" s="8" t="n">
        <v>1108333.35</v>
      </c>
      <c r="J135" s="8" t="n">
        <v>886666.6800000001</v>
      </c>
      <c r="K135" s="8" t="n">
        <v>-221666.67</v>
      </c>
      <c r="L135" s="8" t="n">
        <v>3103333.38</v>
      </c>
      <c r="M135" s="4" t="n">
        <v>0</v>
      </c>
      <c r="N135" s="4" t="inlineStr">
        <is>
          <t>Current</t>
        </is>
      </c>
      <c r="O135" s="4" t="n">
        <v>5</v>
      </c>
    </row>
    <row r="136">
      <c r="A136" s="4" t="inlineStr">
        <is>
          <t>L1134</t>
        </is>
      </c>
      <c r="B136" s="4" t="inlineStr">
        <is>
          <t>Summit Traders</t>
        </is>
      </c>
      <c r="C136" s="4" t="inlineStr">
        <is>
          <t>Education</t>
        </is>
      </c>
      <c r="D136" s="4" t="inlineStr">
        <is>
          <t>2026-01-15</t>
        </is>
      </c>
      <c r="E136" s="8" t="n">
        <v>1000000</v>
      </c>
      <c r="F136" s="4" t="n">
        <v>6</v>
      </c>
      <c r="G136" s="8" t="n">
        <v>188333.33</v>
      </c>
      <c r="H136" s="8" t="n">
        <v>1129999.98</v>
      </c>
      <c r="I136" s="8" t="n">
        <v>941666.65</v>
      </c>
      <c r="J136" s="8" t="n">
        <v>376666.66</v>
      </c>
      <c r="K136" s="8" t="n">
        <v>-564999.99</v>
      </c>
      <c r="L136" s="8" t="n">
        <v>753333.3199999999</v>
      </c>
      <c r="M136" s="4" t="n">
        <v>47</v>
      </c>
      <c r="N136" s="4" t="inlineStr">
        <is>
          <t>31-90 dpd</t>
        </is>
      </c>
      <c r="O136" s="4" t="n">
        <v>5</v>
      </c>
    </row>
    <row r="137">
      <c r="A137" s="4" t="inlineStr">
        <is>
          <t>L1135</t>
        </is>
      </c>
      <c r="B137" s="4" t="inlineStr">
        <is>
          <t>Sterling Services</t>
        </is>
      </c>
      <c r="C137" s="4" t="inlineStr">
        <is>
          <t>Manufacturing</t>
        </is>
      </c>
      <c r="D137" s="4" t="inlineStr">
        <is>
          <t>2026-04-27</t>
        </is>
      </c>
      <c r="E137" s="8" t="n">
        <v>3000000</v>
      </c>
      <c r="F137" s="4" t="n">
        <v>12</v>
      </c>
      <c r="G137" s="8" t="n">
        <v>295000</v>
      </c>
      <c r="H137" s="8" t="n">
        <v>3540000</v>
      </c>
      <c r="I137" s="8" t="n">
        <v>590000</v>
      </c>
      <c r="J137" s="8" t="n">
        <v>295000</v>
      </c>
      <c r="K137" s="8" t="n">
        <v>-295000</v>
      </c>
      <c r="L137" s="8" t="n">
        <v>3245000</v>
      </c>
      <c r="M137" s="4" t="n">
        <v>0</v>
      </c>
      <c r="N137" s="4" t="inlineStr">
        <is>
          <t>Current</t>
        </is>
      </c>
      <c r="O137" s="4" t="n">
        <v>2</v>
      </c>
    </row>
    <row r="138">
      <c r="A138" s="4" t="inlineStr">
        <is>
          <t>L1136</t>
        </is>
      </c>
      <c r="B138" s="4" t="inlineStr">
        <is>
          <t>Metro Logistics</t>
        </is>
      </c>
      <c r="C138" s="4" t="inlineStr">
        <is>
          <t>Retail</t>
        </is>
      </c>
      <c r="D138" s="4" t="inlineStr">
        <is>
          <t>2025-11-04</t>
        </is>
      </c>
      <c r="E138" s="8" t="n">
        <v>1000000</v>
      </c>
      <c r="F138" s="4" t="n">
        <v>12</v>
      </c>
      <c r="G138" s="8" t="n">
        <v>108333.33</v>
      </c>
      <c r="H138" s="8" t="n">
        <v>1299999.96</v>
      </c>
      <c r="I138" s="8" t="n">
        <v>758333.3100000001</v>
      </c>
      <c r="J138" s="8" t="n">
        <v>649999.98</v>
      </c>
      <c r="K138" s="8" t="n">
        <v>-108333.33</v>
      </c>
      <c r="L138" s="8" t="n">
        <v>649999.98</v>
      </c>
      <c r="M138" s="4" t="n">
        <v>0</v>
      </c>
      <c r="N138" s="4" t="inlineStr">
        <is>
          <t>Current</t>
        </is>
      </c>
      <c r="O138" s="4" t="n">
        <v>7</v>
      </c>
    </row>
    <row r="139">
      <c r="A139" s="4" t="inlineStr">
        <is>
          <t>L1137</t>
        </is>
      </c>
      <c r="B139" s="4" t="inlineStr">
        <is>
          <t>Unity Works</t>
        </is>
      </c>
      <c r="C139" s="4" t="inlineStr">
        <is>
          <t>Food &amp; Beverage</t>
        </is>
      </c>
      <c r="D139" s="4" t="inlineStr">
        <is>
          <t>2026-03-21</t>
        </is>
      </c>
      <c r="E139" s="8" t="n">
        <v>250000</v>
      </c>
      <c r="F139" s="4" t="n">
        <v>12</v>
      </c>
      <c r="G139" s="8" t="n">
        <v>25416.67</v>
      </c>
      <c r="H139" s="8" t="n">
        <v>305000.04</v>
      </c>
      <c r="I139" s="8" t="n">
        <v>76250.00999999999</v>
      </c>
      <c r="J139" s="8" t="n">
        <v>50833.34</v>
      </c>
      <c r="K139" s="8" t="n">
        <v>-25416.67</v>
      </c>
      <c r="L139" s="8" t="n">
        <v>254166.7</v>
      </c>
      <c r="M139" s="4" t="n">
        <v>0</v>
      </c>
      <c r="N139" s="4" t="inlineStr">
        <is>
          <t>Current</t>
        </is>
      </c>
      <c r="O139" s="4" t="n">
        <v>3</v>
      </c>
    </row>
    <row r="140">
      <c r="A140" s="4" t="inlineStr">
        <is>
          <t>L1138</t>
        </is>
      </c>
      <c r="B140" s="4" t="inlineStr">
        <is>
          <t>Bright Group</t>
        </is>
      </c>
      <c r="C140" s="4" t="inlineStr">
        <is>
          <t>Logistics</t>
        </is>
      </c>
      <c r="D140" s="4" t="inlineStr">
        <is>
          <t>2025-05-05</t>
        </is>
      </c>
      <c r="E140" s="8" t="n">
        <v>500000</v>
      </c>
      <c r="F140" s="4" t="n">
        <v>24</v>
      </c>
      <c r="G140" s="8" t="n">
        <v>33333.33</v>
      </c>
      <c r="H140" s="8" t="n">
        <v>799999.92</v>
      </c>
      <c r="I140" s="8" t="n">
        <v>433333.29</v>
      </c>
      <c r="J140" s="8" t="n">
        <v>133333.32</v>
      </c>
      <c r="K140" s="8" t="n">
        <v>-299999.97</v>
      </c>
      <c r="L140" s="8" t="n">
        <v>666666.6</v>
      </c>
      <c r="M140" s="4" t="n">
        <v>239</v>
      </c>
      <c r="N140" s="4" t="inlineStr">
        <is>
          <t>90+ dpd</t>
        </is>
      </c>
      <c r="O140" s="4" t="n">
        <v>13</v>
      </c>
    </row>
    <row r="141">
      <c r="A141" s="4" t="inlineStr">
        <is>
          <t>L1139</t>
        </is>
      </c>
      <c r="B141" s="4" t="inlineStr">
        <is>
          <t>Verde Enterprises</t>
        </is>
      </c>
      <c r="C141" s="4" t="inlineStr">
        <is>
          <t>Agriculture</t>
        </is>
      </c>
      <c r="D141" s="4" t="inlineStr">
        <is>
          <t>2025-03-08</t>
        </is>
      </c>
      <c r="E141" s="8" t="n">
        <v>500000</v>
      </c>
      <c r="F141" s="4" t="n">
        <v>12</v>
      </c>
      <c r="G141" s="8" t="n">
        <v>54166.67</v>
      </c>
      <c r="H141" s="8" t="n">
        <v>650000.04</v>
      </c>
      <c r="I141" s="8" t="n">
        <v>650000.04</v>
      </c>
      <c r="J141" s="8" t="n">
        <v>487500.03</v>
      </c>
      <c r="K141" s="8" t="n">
        <v>-162500.01</v>
      </c>
      <c r="L141" s="8" t="n">
        <v>162500.01</v>
      </c>
      <c r="M141" s="4" t="n">
        <v>144</v>
      </c>
      <c r="N141" s="4" t="inlineStr">
        <is>
          <t>90+ dpd</t>
        </is>
      </c>
      <c r="O141" s="4" t="n">
        <v>15</v>
      </c>
    </row>
    <row r="142">
      <c r="A142" s="4" t="inlineStr">
        <is>
          <t>L1140</t>
        </is>
      </c>
      <c r="B142" s="4" t="inlineStr">
        <is>
          <t>Sterling Farms</t>
        </is>
      </c>
      <c r="C142" s="4" t="inlineStr">
        <is>
          <t>Construction</t>
        </is>
      </c>
      <c r="D142" s="4" t="inlineStr">
        <is>
          <t>2024-12-03</t>
        </is>
      </c>
      <c r="E142" s="8" t="n">
        <v>500000</v>
      </c>
      <c r="F142" s="4" t="n">
        <v>9</v>
      </c>
      <c r="G142" s="8" t="n">
        <v>68055.56</v>
      </c>
      <c r="H142" s="8" t="n">
        <v>612500.04</v>
      </c>
      <c r="I142" s="8" t="n">
        <v>612500.04</v>
      </c>
      <c r="J142" s="8" t="n">
        <v>612500.04</v>
      </c>
      <c r="K142" s="8" t="n">
        <v>0</v>
      </c>
      <c r="L142" s="8" t="n">
        <v>0</v>
      </c>
      <c r="M142" s="4" t="n">
        <v>0</v>
      </c>
      <c r="N142" s="4" t="inlineStr">
        <is>
          <t>Current</t>
        </is>
      </c>
      <c r="O142" s="4" t="n">
        <v>18</v>
      </c>
    </row>
    <row r="143">
      <c r="A143" s="4" t="inlineStr">
        <is>
          <t>L1141</t>
        </is>
      </c>
      <c r="B143" s="4" t="inlineStr">
        <is>
          <t>Crown Group</t>
        </is>
      </c>
      <c r="C143" s="4" t="inlineStr">
        <is>
          <t>Retail</t>
        </is>
      </c>
      <c r="D143" s="4" t="inlineStr">
        <is>
          <t>2025-10-18</t>
        </is>
      </c>
      <c r="E143" s="8" t="n">
        <v>750000</v>
      </c>
      <c r="F143" s="4" t="n">
        <v>18</v>
      </c>
      <c r="G143" s="8" t="n">
        <v>60416.67</v>
      </c>
      <c r="H143" s="8" t="n">
        <v>1087500.06</v>
      </c>
      <c r="I143" s="8" t="n">
        <v>483333.36</v>
      </c>
      <c r="J143" s="8" t="n">
        <v>120833.34</v>
      </c>
      <c r="K143" s="8" t="n">
        <v>-362500.02</v>
      </c>
      <c r="L143" s="8" t="n">
        <v>966666.72</v>
      </c>
      <c r="M143" s="4" t="n">
        <v>134</v>
      </c>
      <c r="N143" s="4" t="inlineStr">
        <is>
          <t>90+ dpd</t>
        </is>
      </c>
      <c r="O143" s="4" t="n">
        <v>8</v>
      </c>
    </row>
    <row r="144">
      <c r="A144" s="4" t="inlineStr">
        <is>
          <t>L1142</t>
        </is>
      </c>
      <c r="B144" s="4" t="inlineStr">
        <is>
          <t>Coastal Works</t>
        </is>
      </c>
      <c r="C144" s="4" t="inlineStr">
        <is>
          <t>Education</t>
        </is>
      </c>
      <c r="D144" s="4" t="inlineStr">
        <is>
          <t>2026-01-10</t>
        </is>
      </c>
      <c r="E144" s="8" t="n">
        <v>2000000</v>
      </c>
      <c r="F144" s="4" t="n">
        <v>12</v>
      </c>
      <c r="G144" s="8" t="n">
        <v>216666.67</v>
      </c>
      <c r="H144" s="8" t="n">
        <v>2600000.04</v>
      </c>
      <c r="I144" s="8" t="n">
        <v>1083333.35</v>
      </c>
      <c r="J144" s="8" t="n">
        <v>866666.6800000001</v>
      </c>
      <c r="K144" s="8" t="n">
        <v>-216666.67</v>
      </c>
      <c r="L144" s="8" t="n">
        <v>1733333.36</v>
      </c>
      <c r="M144" s="4" t="n">
        <v>0</v>
      </c>
      <c r="N144" s="4" t="inlineStr">
        <is>
          <t>Current</t>
        </is>
      </c>
      <c r="O144" s="4" t="n">
        <v>5</v>
      </c>
    </row>
    <row r="145">
      <c r="A145" s="4" t="inlineStr">
        <is>
          <t>L1143</t>
        </is>
      </c>
      <c r="B145" s="4" t="inlineStr">
        <is>
          <t>Sterling Holdings</t>
        </is>
      </c>
      <c r="C145" s="4" t="inlineStr">
        <is>
          <t>Health</t>
        </is>
      </c>
      <c r="D145" s="4" t="inlineStr">
        <is>
          <t>2025-05-14</t>
        </is>
      </c>
      <c r="E145" s="8" t="n">
        <v>1000000</v>
      </c>
      <c r="F145" s="4" t="n">
        <v>18</v>
      </c>
      <c r="G145" s="8" t="n">
        <v>77222.22</v>
      </c>
      <c r="H145" s="8" t="n">
        <v>1389999.96</v>
      </c>
      <c r="I145" s="8" t="n">
        <v>1003888.86</v>
      </c>
      <c r="J145" s="8" t="n">
        <v>926666.64</v>
      </c>
      <c r="K145" s="8" t="n">
        <v>-77222.22</v>
      </c>
      <c r="L145" s="8" t="n">
        <v>463333.32</v>
      </c>
      <c r="M145" s="4" t="n">
        <v>0</v>
      </c>
      <c r="N145" s="4" t="inlineStr">
        <is>
          <t>Current</t>
        </is>
      </c>
      <c r="O145" s="4" t="n">
        <v>13</v>
      </c>
    </row>
    <row r="146">
      <c r="A146" s="4" t="inlineStr">
        <is>
          <t>L1144</t>
        </is>
      </c>
      <c r="B146" s="4" t="inlineStr">
        <is>
          <t>Sterling Holdings</t>
        </is>
      </c>
      <c r="C146" s="4" t="inlineStr">
        <is>
          <t>Fashion</t>
        </is>
      </c>
      <c r="D146" s="4" t="inlineStr">
        <is>
          <t>2025-07-25</t>
        </is>
      </c>
      <c r="E146" s="8" t="n">
        <v>750000</v>
      </c>
      <c r="F146" s="4" t="n">
        <v>12</v>
      </c>
      <c r="G146" s="8" t="n">
        <v>73750</v>
      </c>
      <c r="H146" s="8" t="n">
        <v>885000</v>
      </c>
      <c r="I146" s="8" t="n">
        <v>811250</v>
      </c>
      <c r="J146" s="8" t="n">
        <v>737500</v>
      </c>
      <c r="K146" s="8" t="n">
        <v>-73750</v>
      </c>
      <c r="L146" s="8" t="n">
        <v>147500</v>
      </c>
      <c r="M146" s="4" t="n">
        <v>0</v>
      </c>
      <c r="N146" s="4" t="inlineStr">
        <is>
          <t>Current</t>
        </is>
      </c>
      <c r="O146" s="4" t="n">
        <v>11</v>
      </c>
    </row>
    <row r="147">
      <c r="A147" s="4" t="inlineStr">
        <is>
          <t>L1145</t>
        </is>
      </c>
      <c r="B147" s="4" t="inlineStr">
        <is>
          <t>Prime Stores</t>
        </is>
      </c>
      <c r="C147" s="4" t="inlineStr">
        <is>
          <t>Fashion</t>
        </is>
      </c>
      <c r="D147" s="4" t="inlineStr">
        <is>
          <t>2025-10-14</t>
        </is>
      </c>
      <c r="E147" s="8" t="n">
        <v>2000000</v>
      </c>
      <c r="F147" s="4" t="n">
        <v>12</v>
      </c>
      <c r="G147" s="8" t="n">
        <v>210000</v>
      </c>
      <c r="H147" s="8" t="n">
        <v>2520000</v>
      </c>
      <c r="I147" s="8" t="n">
        <v>1680000</v>
      </c>
      <c r="J147" s="8" t="n">
        <v>1050000</v>
      </c>
      <c r="K147" s="8" t="n">
        <v>-630000</v>
      </c>
      <c r="L147" s="8" t="n">
        <v>1470000</v>
      </c>
      <c r="M147" s="4" t="n">
        <v>48</v>
      </c>
      <c r="N147" s="4" t="inlineStr">
        <is>
          <t>31-90 dpd</t>
        </is>
      </c>
      <c r="O147" s="4" t="n">
        <v>8</v>
      </c>
    </row>
    <row r="148">
      <c r="A148" s="4" t="inlineStr">
        <is>
          <t>L1146</t>
        </is>
      </c>
      <c r="B148" s="4" t="inlineStr">
        <is>
          <t>Summit Stores</t>
        </is>
      </c>
      <c r="C148" s="4" t="inlineStr">
        <is>
          <t>Fashion</t>
        </is>
      </c>
      <c r="D148" s="4" t="inlineStr">
        <is>
          <t>2026-05-25</t>
        </is>
      </c>
      <c r="E148" s="8" t="n">
        <v>1500000</v>
      </c>
      <c r="F148" s="4" t="n">
        <v>18</v>
      </c>
      <c r="G148" s="8" t="n">
        <v>110833.33</v>
      </c>
      <c r="H148" s="8" t="n">
        <v>1994999.94</v>
      </c>
      <c r="I148" s="8" t="n">
        <v>110833.33</v>
      </c>
      <c r="J148" s="8" t="n">
        <v>0</v>
      </c>
      <c r="K148" s="8" t="n">
        <v>-110833.33</v>
      </c>
      <c r="L148" s="8" t="n">
        <v>1994999.94</v>
      </c>
      <c r="M148" s="4" t="n">
        <v>0</v>
      </c>
      <c r="N148" s="4" t="inlineStr">
        <is>
          <t>Current</t>
        </is>
      </c>
      <c r="O148" s="4" t="n">
        <v>1</v>
      </c>
    </row>
    <row r="149">
      <c r="A149" s="4" t="inlineStr">
        <is>
          <t>L1147</t>
        </is>
      </c>
      <c r="B149" s="4" t="inlineStr">
        <is>
          <t>Lagoon Enterprises</t>
        </is>
      </c>
      <c r="C149" s="4" t="inlineStr">
        <is>
          <t>Agriculture</t>
        </is>
      </c>
      <c r="D149" s="4" t="inlineStr">
        <is>
          <t>2025-05-06</t>
        </is>
      </c>
      <c r="E149" s="8" t="n">
        <v>500000</v>
      </c>
      <c r="F149" s="4" t="n">
        <v>6</v>
      </c>
      <c r="G149" s="8" t="n">
        <v>94166.67</v>
      </c>
      <c r="H149" s="8" t="n">
        <v>565000.02</v>
      </c>
      <c r="I149" s="8" t="n">
        <v>565000.02</v>
      </c>
      <c r="J149" s="8" t="n">
        <v>565000.02</v>
      </c>
      <c r="K149" s="8" t="n">
        <v>0</v>
      </c>
      <c r="L149" s="8" t="n">
        <v>0</v>
      </c>
      <c r="M149" s="4" t="n">
        <v>0</v>
      </c>
      <c r="N149" s="4" t="inlineStr">
        <is>
          <t>Current</t>
        </is>
      </c>
      <c r="O149" s="4" t="n">
        <v>13</v>
      </c>
    </row>
    <row r="150">
      <c r="A150" s="4" t="inlineStr">
        <is>
          <t>L1148</t>
        </is>
      </c>
      <c r="B150" s="4" t="inlineStr">
        <is>
          <t>Bright Holdings</t>
        </is>
      </c>
      <c r="C150" s="4" t="inlineStr">
        <is>
          <t>Logistics</t>
        </is>
      </c>
      <c r="D150" s="4" t="inlineStr">
        <is>
          <t>2025-07-09</t>
        </is>
      </c>
      <c r="E150" s="8" t="n">
        <v>250000</v>
      </c>
      <c r="F150" s="4" t="n">
        <v>12</v>
      </c>
      <c r="G150" s="8" t="n">
        <v>26250</v>
      </c>
      <c r="H150" s="8" t="n">
        <v>315000</v>
      </c>
      <c r="I150" s="8" t="n">
        <v>288750</v>
      </c>
      <c r="J150" s="8" t="n">
        <v>262500</v>
      </c>
      <c r="K150" s="8" t="n">
        <v>-26250</v>
      </c>
      <c r="L150" s="8" t="n">
        <v>52500</v>
      </c>
      <c r="M150" s="4" t="n">
        <v>0</v>
      </c>
      <c r="N150" s="4" t="inlineStr">
        <is>
          <t>Current</t>
        </is>
      </c>
      <c r="O150" s="4" t="n">
        <v>11</v>
      </c>
    </row>
    <row r="151">
      <c r="A151" s="4" t="inlineStr">
        <is>
          <t>L1149</t>
        </is>
      </c>
      <c r="B151" s="4" t="inlineStr">
        <is>
          <t>Nova Services</t>
        </is>
      </c>
      <c r="C151" s="4" t="inlineStr">
        <is>
          <t>Construction</t>
        </is>
      </c>
      <c r="D151" s="4" t="inlineStr">
        <is>
          <t>2025-03-19</t>
        </is>
      </c>
      <c r="E151" s="8" t="n">
        <v>1000000</v>
      </c>
      <c r="F151" s="4" t="n">
        <v>18</v>
      </c>
      <c r="G151" s="8" t="n">
        <v>77222.22</v>
      </c>
      <c r="H151" s="8" t="n">
        <v>1389999.96</v>
      </c>
      <c r="I151" s="8" t="n">
        <v>1158333.3</v>
      </c>
      <c r="J151" s="8" t="n">
        <v>386111.1</v>
      </c>
      <c r="K151" s="8" t="n">
        <v>-772222.2</v>
      </c>
      <c r="L151" s="8" t="n">
        <v>1003888.86</v>
      </c>
      <c r="M151" s="4" t="n">
        <v>255</v>
      </c>
      <c r="N151" s="4" t="inlineStr">
        <is>
          <t>90+ dpd</t>
        </is>
      </c>
      <c r="O151" s="4" t="n">
        <v>15</v>
      </c>
    </row>
    <row r="152">
      <c r="A152" s="4" t="inlineStr">
        <is>
          <t>L1150</t>
        </is>
      </c>
      <c r="B152" s="4" t="inlineStr">
        <is>
          <t>Lagoon Supplies</t>
        </is>
      </c>
      <c r="C152" s="4" t="inlineStr">
        <is>
          <t>Technology</t>
        </is>
      </c>
      <c r="D152" s="4" t="inlineStr">
        <is>
          <t>2026-03-13</t>
        </is>
      </c>
      <c r="E152" s="8" t="n">
        <v>3000000</v>
      </c>
      <c r="F152" s="4" t="n">
        <v>18</v>
      </c>
      <c r="G152" s="8" t="n">
        <v>231666.67</v>
      </c>
      <c r="H152" s="8" t="n">
        <v>4170000.06</v>
      </c>
      <c r="I152" s="8" t="n">
        <v>695000.01</v>
      </c>
      <c r="J152" s="8" t="n">
        <v>463333.34</v>
      </c>
      <c r="K152" s="8" t="n">
        <v>-231666.67</v>
      </c>
      <c r="L152" s="8" t="n">
        <v>3706666.72</v>
      </c>
      <c r="M152" s="4" t="n">
        <v>0</v>
      </c>
      <c r="N152" s="4" t="inlineStr">
        <is>
          <t>Current</t>
        </is>
      </c>
      <c r="O152" s="4" t="n">
        <v>3</v>
      </c>
    </row>
    <row r="153">
      <c r="A153" s="4" t="inlineStr">
        <is>
          <t>L1151</t>
        </is>
      </c>
      <c r="B153" s="4" t="inlineStr">
        <is>
          <t>Lagoon Stores</t>
        </is>
      </c>
      <c r="C153" s="4" t="inlineStr">
        <is>
          <t>Food &amp; Beverage</t>
        </is>
      </c>
      <c r="D153" s="4" t="inlineStr">
        <is>
          <t>2025-05-27</t>
        </is>
      </c>
      <c r="E153" s="8" t="n">
        <v>1500000</v>
      </c>
      <c r="F153" s="4" t="n">
        <v>18</v>
      </c>
      <c r="G153" s="8" t="n">
        <v>110833.33</v>
      </c>
      <c r="H153" s="8" t="n">
        <v>1994999.94</v>
      </c>
      <c r="I153" s="8" t="n">
        <v>1440833.29</v>
      </c>
      <c r="J153" s="8" t="n">
        <v>1108333.3</v>
      </c>
      <c r="K153" s="8" t="n">
        <v>-332499.99</v>
      </c>
      <c r="L153" s="8" t="n">
        <v>886666.64</v>
      </c>
      <c r="M153" s="4" t="n">
        <v>35</v>
      </c>
      <c r="N153" s="4" t="inlineStr">
        <is>
          <t>31-90 dpd</t>
        </is>
      </c>
      <c r="O153" s="4" t="n">
        <v>13</v>
      </c>
    </row>
    <row r="154">
      <c r="A154" s="4" t="inlineStr">
        <is>
          <t>L1152</t>
        </is>
      </c>
      <c r="B154" s="4" t="inlineStr">
        <is>
          <t>Apex Works</t>
        </is>
      </c>
      <c r="C154" s="4" t="inlineStr">
        <is>
          <t>Construction</t>
        </is>
      </c>
      <c r="D154" s="4" t="inlineStr">
        <is>
          <t>2025-09-20</t>
        </is>
      </c>
      <c r="E154" s="8" t="n">
        <v>2000000</v>
      </c>
      <c r="F154" s="4" t="n">
        <v>12</v>
      </c>
      <c r="G154" s="8" t="n">
        <v>210000</v>
      </c>
      <c r="H154" s="8" t="n">
        <v>2520000</v>
      </c>
      <c r="I154" s="8" t="n">
        <v>1890000</v>
      </c>
      <c r="J154" s="8" t="n">
        <v>1680000</v>
      </c>
      <c r="K154" s="8" t="n">
        <v>-210000</v>
      </c>
      <c r="L154" s="8" t="n">
        <v>840000</v>
      </c>
      <c r="M154" s="4" t="n">
        <v>0</v>
      </c>
      <c r="N154" s="4" t="inlineStr">
        <is>
          <t>Current</t>
        </is>
      </c>
      <c r="O154" s="4" t="n">
        <v>9</v>
      </c>
    </row>
    <row r="155">
      <c r="A155" s="4" t="inlineStr">
        <is>
          <t>L1153</t>
        </is>
      </c>
      <c r="B155" s="4" t="inlineStr">
        <is>
          <t>Coastal Services</t>
        </is>
      </c>
      <c r="C155" s="4" t="inlineStr">
        <is>
          <t>Technology</t>
        </is>
      </c>
      <c r="D155" s="4" t="inlineStr">
        <is>
          <t>2025-07-27</t>
        </is>
      </c>
      <c r="E155" s="8" t="n">
        <v>250000</v>
      </c>
      <c r="F155" s="4" t="n">
        <v>24</v>
      </c>
      <c r="G155" s="8" t="n">
        <v>14166.67</v>
      </c>
      <c r="H155" s="8" t="n">
        <v>340000.08</v>
      </c>
      <c r="I155" s="8" t="n">
        <v>155833.37</v>
      </c>
      <c r="J155" s="8" t="n">
        <v>141666.7</v>
      </c>
      <c r="K155" s="8" t="n">
        <v>-14166.67</v>
      </c>
      <c r="L155" s="8" t="n">
        <v>198333.38</v>
      </c>
      <c r="M155" s="4" t="n">
        <v>0</v>
      </c>
      <c r="N155" s="4" t="inlineStr">
        <is>
          <t>Current</t>
        </is>
      </c>
      <c r="O155" s="4" t="n">
        <v>11</v>
      </c>
    </row>
    <row r="156">
      <c r="A156" s="4" t="inlineStr">
        <is>
          <t>L1154</t>
        </is>
      </c>
      <c r="B156" s="4" t="inlineStr">
        <is>
          <t>Prime Logistics</t>
        </is>
      </c>
      <c r="C156" s="4" t="inlineStr">
        <is>
          <t>Retail</t>
        </is>
      </c>
      <c r="D156" s="4" t="inlineStr">
        <is>
          <t>2026-05-21</t>
        </is>
      </c>
      <c r="E156" s="8" t="n">
        <v>1500000</v>
      </c>
      <c r="F156" s="4" t="n">
        <v>9</v>
      </c>
      <c r="G156" s="8" t="n">
        <v>189166.67</v>
      </c>
      <c r="H156" s="8" t="n">
        <v>1702500.03</v>
      </c>
      <c r="I156" s="8" t="n">
        <v>189166.67</v>
      </c>
      <c r="J156" s="8" t="n">
        <v>0</v>
      </c>
      <c r="K156" s="8" t="n">
        <v>-189166.67</v>
      </c>
      <c r="L156" s="8" t="n">
        <v>1702500.03</v>
      </c>
      <c r="M156" s="4" t="n">
        <v>0</v>
      </c>
      <c r="N156" s="4" t="inlineStr">
        <is>
          <t>Current</t>
        </is>
      </c>
      <c r="O156" s="4" t="n">
        <v>1</v>
      </c>
    </row>
    <row r="157">
      <c r="A157" s="4" t="inlineStr">
        <is>
          <t>L1155</t>
        </is>
      </c>
      <c r="B157" s="4" t="inlineStr">
        <is>
          <t>Nova Farms</t>
        </is>
      </c>
      <c r="C157" s="4" t="inlineStr">
        <is>
          <t>Agriculture</t>
        </is>
      </c>
      <c r="D157" s="4" t="inlineStr">
        <is>
          <t>2025-09-21</t>
        </is>
      </c>
      <c r="E157" s="8" t="n">
        <v>3000000</v>
      </c>
      <c r="F157" s="4" t="n">
        <v>12</v>
      </c>
      <c r="G157" s="8" t="n">
        <v>325000</v>
      </c>
      <c r="H157" s="8" t="n">
        <v>3900000</v>
      </c>
      <c r="I157" s="8" t="n">
        <v>2925000</v>
      </c>
      <c r="J157" s="8" t="n">
        <v>1950000</v>
      </c>
      <c r="K157" s="8" t="n">
        <v>-975000</v>
      </c>
      <c r="L157" s="8" t="n">
        <v>1950000</v>
      </c>
      <c r="M157" s="4" t="n">
        <v>41</v>
      </c>
      <c r="N157" s="4" t="inlineStr">
        <is>
          <t>31-90 dpd</t>
        </is>
      </c>
      <c r="O157" s="4" t="n">
        <v>9</v>
      </c>
    </row>
    <row r="158">
      <c r="A158" s="4" t="inlineStr">
        <is>
          <t>L1156</t>
        </is>
      </c>
      <c r="B158" s="4" t="inlineStr">
        <is>
          <t>Sterling Group</t>
        </is>
      </c>
      <c r="C158" s="4" t="inlineStr">
        <is>
          <t>Retail</t>
        </is>
      </c>
      <c r="D158" s="4" t="inlineStr">
        <is>
          <t>2025-05-27</t>
        </is>
      </c>
      <c r="E158" s="8" t="n">
        <v>500000</v>
      </c>
      <c r="F158" s="4" t="n">
        <v>12</v>
      </c>
      <c r="G158" s="8" t="n">
        <v>49166.67</v>
      </c>
      <c r="H158" s="8" t="n">
        <v>590000.04</v>
      </c>
      <c r="I158" s="8" t="n">
        <v>590000.04</v>
      </c>
      <c r="J158" s="8" t="n">
        <v>196666.68</v>
      </c>
      <c r="K158" s="8" t="n">
        <v>-393333.36</v>
      </c>
      <c r="L158" s="8" t="n">
        <v>393333.36</v>
      </c>
      <c r="M158" s="4" t="n">
        <v>217</v>
      </c>
      <c r="N158" s="4" t="inlineStr">
        <is>
          <t>90+ dpd</t>
        </is>
      </c>
      <c r="O158" s="4" t="n">
        <v>13</v>
      </c>
    </row>
    <row r="159">
      <c r="A159" s="4" t="inlineStr">
        <is>
          <t>L1157</t>
        </is>
      </c>
      <c r="B159" s="4" t="inlineStr">
        <is>
          <t>Lagoon Traders</t>
        </is>
      </c>
      <c r="C159" s="4" t="inlineStr">
        <is>
          <t>Education</t>
        </is>
      </c>
      <c r="D159" s="4" t="inlineStr">
        <is>
          <t>2025-03-15</t>
        </is>
      </c>
      <c r="E159" s="8" t="n">
        <v>1000000</v>
      </c>
      <c r="F159" s="4" t="n">
        <v>24</v>
      </c>
      <c r="G159" s="8" t="n">
        <v>60000</v>
      </c>
      <c r="H159" s="8" t="n">
        <v>1440000</v>
      </c>
      <c r="I159" s="8" t="n">
        <v>900000</v>
      </c>
      <c r="J159" s="8" t="n">
        <v>840000</v>
      </c>
      <c r="K159" s="8" t="n">
        <v>-60000</v>
      </c>
      <c r="L159" s="8" t="n">
        <v>600000</v>
      </c>
      <c r="M159" s="4" t="n">
        <v>0</v>
      </c>
      <c r="N159" s="4" t="inlineStr">
        <is>
          <t>Current</t>
        </is>
      </c>
      <c r="O159" s="4" t="n">
        <v>15</v>
      </c>
    </row>
    <row r="160">
      <c r="A160" s="4" t="inlineStr">
        <is>
          <t>L1158</t>
        </is>
      </c>
      <c r="B160" s="4" t="inlineStr">
        <is>
          <t>Bright Holdings</t>
        </is>
      </c>
      <c r="C160" s="4" t="inlineStr">
        <is>
          <t>Food &amp; Beverage</t>
        </is>
      </c>
      <c r="D160" s="4" t="inlineStr">
        <is>
          <t>2025-04-01</t>
        </is>
      </c>
      <c r="E160" s="8" t="n">
        <v>250000</v>
      </c>
      <c r="F160" s="4" t="n">
        <v>9</v>
      </c>
      <c r="G160" s="8" t="n">
        <v>34027.78</v>
      </c>
      <c r="H160" s="8" t="n">
        <v>306250.02</v>
      </c>
      <c r="I160" s="8" t="n">
        <v>306250.02</v>
      </c>
      <c r="J160" s="8" t="n">
        <v>323263.91</v>
      </c>
      <c r="K160" s="8" t="n">
        <v>17013.89</v>
      </c>
      <c r="L160" s="8" t="n">
        <v>0</v>
      </c>
      <c r="M160" s="4" t="n">
        <v>0</v>
      </c>
      <c r="N160" s="4" t="inlineStr">
        <is>
          <t>Current</t>
        </is>
      </c>
      <c r="O160" s="4" t="n">
        <v>14</v>
      </c>
    </row>
    <row r="161">
      <c r="A161" s="4" t="inlineStr">
        <is>
          <t>L1159</t>
        </is>
      </c>
      <c r="B161" s="4" t="inlineStr">
        <is>
          <t>Crown Stores</t>
        </is>
      </c>
      <c r="C161" s="4" t="inlineStr">
        <is>
          <t>Education</t>
        </is>
      </c>
      <c r="D161" s="4" t="inlineStr">
        <is>
          <t>2026-04-19</t>
        </is>
      </c>
      <c r="E161" s="8" t="n">
        <v>2000000</v>
      </c>
      <c r="F161" s="4" t="n">
        <v>18</v>
      </c>
      <c r="G161" s="8" t="n">
        <v>154444.44</v>
      </c>
      <c r="H161" s="8" t="n">
        <v>2779999.92</v>
      </c>
      <c r="I161" s="8" t="n">
        <v>308888.88</v>
      </c>
      <c r="J161" s="8" t="n">
        <v>0</v>
      </c>
      <c r="K161" s="8" t="n">
        <v>-308888.88</v>
      </c>
      <c r="L161" s="8" t="n">
        <v>2779999.92</v>
      </c>
      <c r="M161" s="4" t="n">
        <v>13</v>
      </c>
      <c r="N161" s="4" t="inlineStr">
        <is>
          <t>1-30 dpd</t>
        </is>
      </c>
      <c r="O161" s="4" t="n">
        <v>2</v>
      </c>
    </row>
    <row r="162">
      <c r="A162" s="4" t="inlineStr">
        <is>
          <t>L1160</t>
        </is>
      </c>
      <c r="B162" s="4" t="inlineStr">
        <is>
          <t>Bright Farms</t>
        </is>
      </c>
      <c r="C162" s="4" t="inlineStr">
        <is>
          <t>Logistics</t>
        </is>
      </c>
      <c r="D162" s="4" t="inlineStr">
        <is>
          <t>2026-01-20</t>
        </is>
      </c>
      <c r="E162" s="8" t="n">
        <v>750000</v>
      </c>
      <c r="F162" s="4" t="n">
        <v>24</v>
      </c>
      <c r="G162" s="8" t="n">
        <v>45000</v>
      </c>
      <c r="H162" s="8" t="n">
        <v>1080000</v>
      </c>
      <c r="I162" s="8" t="n">
        <v>225000</v>
      </c>
      <c r="J162" s="8" t="n">
        <v>45000</v>
      </c>
      <c r="K162" s="8" t="n">
        <v>-180000</v>
      </c>
      <c r="L162" s="8" t="n">
        <v>1035000</v>
      </c>
      <c r="M162" s="4" t="n">
        <v>73</v>
      </c>
      <c r="N162" s="4" t="inlineStr">
        <is>
          <t>31-90 dpd</t>
        </is>
      </c>
      <c r="O162" s="4" t="n">
        <v>5</v>
      </c>
    </row>
    <row r="163">
      <c r="A163" s="4" t="inlineStr">
        <is>
          <t>L1161</t>
        </is>
      </c>
      <c r="B163" s="4" t="inlineStr">
        <is>
          <t>Bright Works</t>
        </is>
      </c>
      <c r="C163" s="4" t="inlineStr">
        <is>
          <t>Health</t>
        </is>
      </c>
      <c r="D163" s="4" t="inlineStr">
        <is>
          <t>2025-01-17</t>
        </is>
      </c>
      <c r="E163" s="8" t="n">
        <v>500000</v>
      </c>
      <c r="F163" s="4" t="n">
        <v>24</v>
      </c>
      <c r="G163" s="8" t="n">
        <v>30000</v>
      </c>
      <c r="H163" s="8" t="n">
        <v>720000</v>
      </c>
      <c r="I163" s="8" t="n">
        <v>510000</v>
      </c>
      <c r="J163" s="8" t="n">
        <v>480000</v>
      </c>
      <c r="K163" s="8" t="n">
        <v>-30000</v>
      </c>
      <c r="L163" s="8" t="n">
        <v>240000</v>
      </c>
      <c r="M163" s="4" t="n">
        <v>0</v>
      </c>
      <c r="N163" s="4" t="inlineStr">
        <is>
          <t>Current</t>
        </is>
      </c>
      <c r="O163" s="4" t="n">
        <v>17</v>
      </c>
    </row>
    <row r="164">
      <c r="A164" s="4" t="inlineStr">
        <is>
          <t>L1162</t>
        </is>
      </c>
      <c r="B164" s="4" t="inlineStr">
        <is>
          <t>Metro Enterprises</t>
        </is>
      </c>
      <c r="C164" s="4" t="inlineStr">
        <is>
          <t>Education</t>
        </is>
      </c>
      <c r="D164" s="4" t="inlineStr">
        <is>
          <t>2025-04-19</t>
        </is>
      </c>
      <c r="E164" s="8" t="n">
        <v>1000000</v>
      </c>
      <c r="F164" s="4" t="n">
        <v>6</v>
      </c>
      <c r="G164" s="8" t="n">
        <v>191666.67</v>
      </c>
      <c r="H164" s="8" t="n">
        <v>1150000.02</v>
      </c>
      <c r="I164" s="8" t="n">
        <v>1150000.02</v>
      </c>
      <c r="J164" s="8" t="n">
        <v>958333.35</v>
      </c>
      <c r="K164" s="8" t="n">
        <v>-191666.67</v>
      </c>
      <c r="L164" s="8" t="n">
        <v>191666.67</v>
      </c>
      <c r="M164" s="4" t="n">
        <v>225</v>
      </c>
      <c r="N164" s="4" t="inlineStr">
        <is>
          <t>90+ dpd</t>
        </is>
      </c>
      <c r="O164" s="4" t="n">
        <v>14</v>
      </c>
    </row>
    <row r="165">
      <c r="A165" s="4" t="inlineStr">
        <is>
          <t>L1163</t>
        </is>
      </c>
      <c r="B165" s="4" t="inlineStr">
        <is>
          <t>Sterling Supplies</t>
        </is>
      </c>
      <c r="C165" s="4" t="inlineStr">
        <is>
          <t>Fashion</t>
        </is>
      </c>
      <c r="D165" s="4" t="inlineStr">
        <is>
          <t>2025-10-19</t>
        </is>
      </c>
      <c r="E165" s="8" t="n">
        <v>500000</v>
      </c>
      <c r="F165" s="4" t="n">
        <v>9</v>
      </c>
      <c r="G165" s="8" t="n">
        <v>64722.22</v>
      </c>
      <c r="H165" s="8" t="n">
        <v>582499.98</v>
      </c>
      <c r="I165" s="8" t="n">
        <v>517777.76</v>
      </c>
      <c r="J165" s="8" t="n">
        <v>453055.54</v>
      </c>
      <c r="K165" s="8" t="n">
        <v>-64722.22</v>
      </c>
      <c r="L165" s="8" t="n">
        <v>129444.44</v>
      </c>
      <c r="M165" s="4" t="n">
        <v>0</v>
      </c>
      <c r="N165" s="4" t="inlineStr">
        <is>
          <t>Current</t>
        </is>
      </c>
      <c r="O165" s="4" t="n">
        <v>8</v>
      </c>
    </row>
    <row r="166">
      <c r="A166" s="4" t="inlineStr">
        <is>
          <t>L1164</t>
        </is>
      </c>
      <c r="B166" s="4" t="inlineStr">
        <is>
          <t>Verde Traders</t>
        </is>
      </c>
      <c r="C166" s="4" t="inlineStr">
        <is>
          <t>Fashion</t>
        </is>
      </c>
      <c r="D166" s="4" t="inlineStr">
        <is>
          <t>2026-02-24</t>
        </is>
      </c>
      <c r="E166" s="8" t="n">
        <v>3000000</v>
      </c>
      <c r="F166" s="4" t="n">
        <v>9</v>
      </c>
      <c r="G166" s="8" t="n">
        <v>398333.33</v>
      </c>
      <c r="H166" s="8" t="n">
        <v>3584999.97</v>
      </c>
      <c r="I166" s="8" t="n">
        <v>1593333.32</v>
      </c>
      <c r="J166" s="8" t="n">
        <v>1194999.99</v>
      </c>
      <c r="K166" s="8" t="n">
        <v>-398333.33</v>
      </c>
      <c r="L166" s="8" t="n">
        <v>2389999.98</v>
      </c>
      <c r="M166" s="4" t="n">
        <v>0</v>
      </c>
      <c r="N166" s="4" t="inlineStr">
        <is>
          <t>Current</t>
        </is>
      </c>
      <c r="O166" s="4" t="n">
        <v>4</v>
      </c>
    </row>
    <row r="167">
      <c r="A167" s="4" t="inlineStr">
        <is>
          <t>L1165</t>
        </is>
      </c>
      <c r="B167" s="4" t="inlineStr">
        <is>
          <t>Summit Enterprises</t>
        </is>
      </c>
      <c r="C167" s="4" t="inlineStr">
        <is>
          <t>Retail</t>
        </is>
      </c>
      <c r="D167" s="4" t="inlineStr">
        <is>
          <t>2025-02-08</t>
        </is>
      </c>
      <c r="E167" s="8" t="n">
        <v>1000000</v>
      </c>
      <c r="F167" s="4" t="n">
        <v>24</v>
      </c>
      <c r="G167" s="8" t="n">
        <v>66666.67</v>
      </c>
      <c r="H167" s="8" t="n">
        <v>1600000.08</v>
      </c>
      <c r="I167" s="8" t="n">
        <v>1066666.72</v>
      </c>
      <c r="J167" s="8" t="n">
        <v>1066666.72</v>
      </c>
      <c r="K167" s="8" t="n">
        <v>0</v>
      </c>
      <c r="L167" s="8" t="n">
        <v>533333.36</v>
      </c>
      <c r="M167" s="4" t="n">
        <v>0</v>
      </c>
      <c r="N167" s="4" t="inlineStr">
        <is>
          <t>Current</t>
        </is>
      </c>
      <c r="O167" s="4" t="n">
        <v>16</v>
      </c>
    </row>
    <row r="168">
      <c r="A168" s="4" t="inlineStr">
        <is>
          <t>L1166</t>
        </is>
      </c>
      <c r="B168" s="4" t="inlineStr">
        <is>
          <t>Sterling Supplies</t>
        </is>
      </c>
      <c r="C168" s="4" t="inlineStr">
        <is>
          <t>Manufacturing</t>
        </is>
      </c>
      <c r="D168" s="4" t="inlineStr">
        <is>
          <t>2025-12-10</t>
        </is>
      </c>
      <c r="E168" s="8" t="n">
        <v>1000000</v>
      </c>
      <c r="F168" s="4" t="n">
        <v>18</v>
      </c>
      <c r="G168" s="8" t="n">
        <v>73888.89</v>
      </c>
      <c r="H168" s="8" t="n">
        <v>1330000.02</v>
      </c>
      <c r="I168" s="8" t="n">
        <v>443333.34</v>
      </c>
      <c r="J168" s="8" t="n">
        <v>295555.56</v>
      </c>
      <c r="K168" s="8" t="n">
        <v>-147777.78</v>
      </c>
      <c r="L168" s="8" t="n">
        <v>1034444.46</v>
      </c>
      <c r="M168" s="4" t="n">
        <v>22</v>
      </c>
      <c r="N168" s="4" t="inlineStr">
        <is>
          <t>1-30 dpd</t>
        </is>
      </c>
      <c r="O168" s="4" t="n">
        <v>6</v>
      </c>
    </row>
    <row r="169">
      <c r="A169" s="4" t="inlineStr">
        <is>
          <t>L1167</t>
        </is>
      </c>
      <c r="B169" s="4" t="inlineStr">
        <is>
          <t>Prime Ventures</t>
        </is>
      </c>
      <c r="C169" s="4" t="inlineStr">
        <is>
          <t>Health</t>
        </is>
      </c>
      <c r="D169" s="4" t="inlineStr">
        <is>
          <t>2025-11-09</t>
        </is>
      </c>
      <c r="E169" s="8" t="n">
        <v>2000000</v>
      </c>
      <c r="F169" s="4" t="n">
        <v>12</v>
      </c>
      <c r="G169" s="8" t="n">
        <v>210000</v>
      </c>
      <c r="H169" s="8" t="n">
        <v>2520000</v>
      </c>
      <c r="I169" s="8" t="n">
        <v>1470000</v>
      </c>
      <c r="J169" s="8" t="n">
        <v>630000</v>
      </c>
      <c r="K169" s="8" t="n">
        <v>-840000</v>
      </c>
      <c r="L169" s="8" t="n">
        <v>1890000</v>
      </c>
      <c r="M169" s="4" t="n">
        <v>84</v>
      </c>
      <c r="N169" s="4" t="inlineStr">
        <is>
          <t>31-90 dpd</t>
        </is>
      </c>
      <c r="O169" s="4" t="n">
        <v>7</v>
      </c>
    </row>
    <row r="170">
      <c r="A170" s="4" t="inlineStr">
        <is>
          <t>L1168</t>
        </is>
      </c>
      <c r="B170" s="4" t="inlineStr">
        <is>
          <t>Verde Stores</t>
        </is>
      </c>
      <c r="C170" s="4" t="inlineStr">
        <is>
          <t>Fashion</t>
        </is>
      </c>
      <c r="D170" s="4" t="inlineStr">
        <is>
          <t>2025-03-27</t>
        </is>
      </c>
      <c r="E170" s="8" t="n">
        <v>2000000</v>
      </c>
      <c r="F170" s="4" t="n">
        <v>18</v>
      </c>
      <c r="G170" s="8" t="n">
        <v>154444.44</v>
      </c>
      <c r="H170" s="8" t="n">
        <v>2779999.92</v>
      </c>
      <c r="I170" s="8" t="n">
        <v>2316666.6</v>
      </c>
      <c r="J170" s="8" t="n">
        <v>1853333.28</v>
      </c>
      <c r="K170" s="8" t="n">
        <v>-463333.32</v>
      </c>
      <c r="L170" s="8" t="n">
        <v>926666.64</v>
      </c>
      <c r="M170" s="4" t="n">
        <v>35</v>
      </c>
      <c r="N170" s="4" t="inlineStr">
        <is>
          <t>31-90 dpd</t>
        </is>
      </c>
      <c r="O170" s="4" t="n">
        <v>15</v>
      </c>
    </row>
    <row r="171">
      <c r="A171" s="4" t="inlineStr">
        <is>
          <t>L1169</t>
        </is>
      </c>
      <c r="B171" s="4" t="inlineStr">
        <is>
          <t>Prime Ventures</t>
        </is>
      </c>
      <c r="C171" s="4" t="inlineStr">
        <is>
          <t>Fashion</t>
        </is>
      </c>
      <c r="D171" s="4" t="inlineStr">
        <is>
          <t>2025-08-25</t>
        </is>
      </c>
      <c r="E171" s="8" t="n">
        <v>500000</v>
      </c>
      <c r="F171" s="4" t="n">
        <v>12</v>
      </c>
      <c r="G171" s="8" t="n">
        <v>50833.33</v>
      </c>
      <c r="H171" s="8" t="n">
        <v>609999.96</v>
      </c>
      <c r="I171" s="8" t="n">
        <v>508333.3</v>
      </c>
      <c r="J171" s="8" t="n">
        <v>457499.97</v>
      </c>
      <c r="K171" s="8" t="n">
        <v>-50833.33</v>
      </c>
      <c r="L171" s="8" t="n">
        <v>152499.99</v>
      </c>
      <c r="M171" s="4" t="n">
        <v>0</v>
      </c>
      <c r="N171" s="4" t="inlineStr">
        <is>
          <t>Current</t>
        </is>
      </c>
      <c r="O171" s="4" t="n">
        <v>10</v>
      </c>
    </row>
    <row r="172">
      <c r="A172" s="4" t="inlineStr">
        <is>
          <t>L1170</t>
        </is>
      </c>
      <c r="B172" s="4" t="inlineStr">
        <is>
          <t>Bright Logistics</t>
        </is>
      </c>
      <c r="C172" s="4" t="inlineStr">
        <is>
          <t>Agriculture</t>
        </is>
      </c>
      <c r="D172" s="4" t="inlineStr">
        <is>
          <t>2025-01-02</t>
        </is>
      </c>
      <c r="E172" s="8" t="n">
        <v>750000</v>
      </c>
      <c r="F172" s="4" t="n">
        <v>9</v>
      </c>
      <c r="G172" s="8" t="n">
        <v>99583.33</v>
      </c>
      <c r="H172" s="8" t="n">
        <v>896249.97</v>
      </c>
      <c r="I172" s="8" t="n">
        <v>896249.97</v>
      </c>
      <c r="J172" s="8" t="n">
        <v>896249.97</v>
      </c>
      <c r="K172" s="8" t="n">
        <v>0</v>
      </c>
      <c r="L172" s="8" t="n">
        <v>0</v>
      </c>
      <c r="M172" s="4" t="n">
        <v>0</v>
      </c>
      <c r="N172" s="4" t="inlineStr">
        <is>
          <t>Current</t>
        </is>
      </c>
      <c r="O172" s="4" t="n">
        <v>17</v>
      </c>
    </row>
    <row r="173">
      <c r="A173" s="4" t="inlineStr">
        <is>
          <t>L1171</t>
        </is>
      </c>
      <c r="B173" s="4" t="inlineStr">
        <is>
          <t>Metro Farms</t>
        </is>
      </c>
      <c r="C173" s="4" t="inlineStr">
        <is>
          <t>Manufacturing</t>
        </is>
      </c>
      <c r="D173" s="4" t="inlineStr">
        <is>
          <t>2026-05-18</t>
        </is>
      </c>
      <c r="E173" s="8" t="n">
        <v>3000000</v>
      </c>
      <c r="F173" s="4" t="n">
        <v>9</v>
      </c>
      <c r="G173" s="8" t="n">
        <v>388333.33</v>
      </c>
      <c r="H173" s="8" t="n">
        <v>3494999.97</v>
      </c>
      <c r="I173" s="8" t="n">
        <v>388333.33</v>
      </c>
      <c r="J173" s="8" t="n">
        <v>0</v>
      </c>
      <c r="K173" s="8" t="n">
        <v>-388333.33</v>
      </c>
      <c r="L173" s="8" t="n">
        <v>3494999.97</v>
      </c>
      <c r="M173" s="4" t="n">
        <v>0</v>
      </c>
      <c r="N173" s="4" t="inlineStr">
        <is>
          <t>Current</t>
        </is>
      </c>
      <c r="O173" s="4" t="n">
        <v>1</v>
      </c>
    </row>
    <row r="174">
      <c r="A174" s="4" t="inlineStr">
        <is>
          <t>L1172</t>
        </is>
      </c>
      <c r="B174" s="4" t="inlineStr">
        <is>
          <t>Harvest Holdings</t>
        </is>
      </c>
      <c r="C174" s="4" t="inlineStr">
        <is>
          <t>Education</t>
        </is>
      </c>
      <c r="D174" s="4" t="inlineStr">
        <is>
          <t>2026-05-21</t>
        </is>
      </c>
      <c r="E174" s="8" t="n">
        <v>1000000</v>
      </c>
      <c r="F174" s="4" t="n">
        <v>12</v>
      </c>
      <c r="G174" s="8" t="n">
        <v>108333.33</v>
      </c>
      <c r="H174" s="8" t="n">
        <v>1299999.96</v>
      </c>
      <c r="I174" s="8" t="n">
        <v>108333.33</v>
      </c>
      <c r="J174" s="8" t="n">
        <v>0</v>
      </c>
      <c r="K174" s="8" t="n">
        <v>-108333.33</v>
      </c>
      <c r="L174" s="8" t="n">
        <v>1299999.96</v>
      </c>
      <c r="M174" s="4" t="n">
        <v>0</v>
      </c>
      <c r="N174" s="4" t="inlineStr">
        <is>
          <t>Current</t>
        </is>
      </c>
      <c r="O174" s="4" t="n">
        <v>1</v>
      </c>
    </row>
    <row r="175">
      <c r="A175" s="4" t="inlineStr">
        <is>
          <t>L1173</t>
        </is>
      </c>
      <c r="B175" s="4" t="inlineStr">
        <is>
          <t>Lagoon Logistics</t>
        </is>
      </c>
      <c r="C175" s="4" t="inlineStr">
        <is>
          <t>Health</t>
        </is>
      </c>
      <c r="D175" s="4" t="inlineStr">
        <is>
          <t>2025-06-07</t>
        </is>
      </c>
      <c r="E175" s="8" t="n">
        <v>1000000</v>
      </c>
      <c r="F175" s="4" t="n">
        <v>9</v>
      </c>
      <c r="G175" s="8" t="n">
        <v>136111.11</v>
      </c>
      <c r="H175" s="8" t="n">
        <v>1224999.99</v>
      </c>
      <c r="I175" s="8" t="n">
        <v>1224999.99</v>
      </c>
      <c r="J175" s="8" t="n">
        <v>408333.33</v>
      </c>
      <c r="K175" s="8" t="n">
        <v>-816666.66</v>
      </c>
      <c r="L175" s="8" t="n">
        <v>816666.66</v>
      </c>
      <c r="M175" s="4" t="n">
        <v>237</v>
      </c>
      <c r="N175" s="4" t="inlineStr">
        <is>
          <t>90+ dpd</t>
        </is>
      </c>
      <c r="O175" s="4" t="n">
        <v>12</v>
      </c>
    </row>
    <row r="176">
      <c r="A176" s="4" t="inlineStr">
        <is>
          <t>L1174</t>
        </is>
      </c>
      <c r="B176" s="4" t="inlineStr">
        <is>
          <t>Pioneer Stores</t>
        </is>
      </c>
      <c r="C176" s="4" t="inlineStr">
        <is>
          <t>Logistics</t>
        </is>
      </c>
      <c r="D176" s="4" t="inlineStr">
        <is>
          <t>2026-05-21</t>
        </is>
      </c>
      <c r="E176" s="8" t="n">
        <v>500000</v>
      </c>
      <c r="F176" s="4" t="n">
        <v>12</v>
      </c>
      <c r="G176" s="8" t="n">
        <v>52500</v>
      </c>
      <c r="H176" s="8" t="n">
        <v>630000</v>
      </c>
      <c r="I176" s="8" t="n">
        <v>52500</v>
      </c>
      <c r="J176" s="8" t="n">
        <v>0</v>
      </c>
      <c r="K176" s="8" t="n">
        <v>-52500</v>
      </c>
      <c r="L176" s="8" t="n">
        <v>630000</v>
      </c>
      <c r="M176" s="4" t="n">
        <v>0</v>
      </c>
      <c r="N176" s="4" t="inlineStr">
        <is>
          <t>Current</t>
        </is>
      </c>
      <c r="O176" s="4" t="n">
        <v>1</v>
      </c>
    </row>
    <row r="177">
      <c r="A177" s="4" t="inlineStr">
        <is>
          <t>L1175</t>
        </is>
      </c>
      <c r="B177" s="4" t="inlineStr">
        <is>
          <t>Summit Holdings</t>
        </is>
      </c>
      <c r="C177" s="4" t="inlineStr">
        <is>
          <t>Education</t>
        </is>
      </c>
      <c r="D177" s="4" t="inlineStr">
        <is>
          <t>2026-03-07</t>
        </is>
      </c>
      <c r="E177" s="8" t="n">
        <v>750000</v>
      </c>
      <c r="F177" s="4" t="n">
        <v>9</v>
      </c>
      <c r="G177" s="8" t="n">
        <v>94583.33</v>
      </c>
      <c r="H177" s="8" t="n">
        <v>851249.97</v>
      </c>
      <c r="I177" s="8" t="n">
        <v>283749.99</v>
      </c>
      <c r="J177" s="8" t="n">
        <v>189166.66</v>
      </c>
      <c r="K177" s="8" t="n">
        <v>-94583.33</v>
      </c>
      <c r="L177" s="8" t="n">
        <v>662083.3100000001</v>
      </c>
      <c r="M177" s="4" t="n">
        <v>0</v>
      </c>
      <c r="N177" s="4" t="inlineStr">
        <is>
          <t>Current</t>
        </is>
      </c>
      <c r="O177" s="4" t="n">
        <v>3</v>
      </c>
    </row>
    <row r="178">
      <c r="A178" s="4" t="inlineStr">
        <is>
          <t>L1176</t>
        </is>
      </c>
      <c r="B178" s="4" t="inlineStr">
        <is>
          <t>Sterling Group</t>
        </is>
      </c>
      <c r="C178" s="4" t="inlineStr">
        <is>
          <t>Technology</t>
        </is>
      </c>
      <c r="D178" s="4" t="inlineStr">
        <is>
          <t>2024-12-08</t>
        </is>
      </c>
      <c r="E178" s="8" t="n">
        <v>250000</v>
      </c>
      <c r="F178" s="4" t="n">
        <v>12</v>
      </c>
      <c r="G178" s="8" t="n">
        <v>25416.67</v>
      </c>
      <c r="H178" s="8" t="n">
        <v>305000.04</v>
      </c>
      <c r="I178" s="8" t="n">
        <v>305000.04</v>
      </c>
      <c r="J178" s="8" t="n">
        <v>228750.03</v>
      </c>
      <c r="K178" s="8" t="n">
        <v>-76250.00999999999</v>
      </c>
      <c r="L178" s="8" t="n">
        <v>76250.00999999999</v>
      </c>
      <c r="M178" s="4" t="n">
        <v>236</v>
      </c>
      <c r="N178" s="4" t="inlineStr">
        <is>
          <t>90+ dpd</t>
        </is>
      </c>
      <c r="O178" s="4" t="n">
        <v>18</v>
      </c>
    </row>
    <row r="179">
      <c r="A179" s="4" t="inlineStr">
        <is>
          <t>L1177</t>
        </is>
      </c>
      <c r="B179" s="4" t="inlineStr">
        <is>
          <t>Nova Group</t>
        </is>
      </c>
      <c r="C179" s="4" t="inlineStr">
        <is>
          <t>Construction</t>
        </is>
      </c>
      <c r="D179" s="4" t="inlineStr">
        <is>
          <t>2025-11-12</t>
        </is>
      </c>
      <c r="E179" s="8" t="n">
        <v>3000000</v>
      </c>
      <c r="F179" s="4" t="n">
        <v>12</v>
      </c>
      <c r="G179" s="8" t="n">
        <v>325000</v>
      </c>
      <c r="H179" s="8" t="n">
        <v>3900000</v>
      </c>
      <c r="I179" s="8" t="n">
        <v>2275000</v>
      </c>
      <c r="J179" s="8" t="n">
        <v>1950000</v>
      </c>
      <c r="K179" s="8" t="n">
        <v>-325000</v>
      </c>
      <c r="L179" s="8" t="n">
        <v>1950000</v>
      </c>
      <c r="M179" s="4" t="n">
        <v>0</v>
      </c>
      <c r="N179" s="4" t="inlineStr">
        <is>
          <t>Current</t>
        </is>
      </c>
      <c r="O179" s="4" t="n">
        <v>7</v>
      </c>
    </row>
    <row r="180">
      <c r="A180" s="4" t="inlineStr">
        <is>
          <t>L1178</t>
        </is>
      </c>
      <c r="B180" s="4" t="inlineStr">
        <is>
          <t>Sterling Traders</t>
        </is>
      </c>
      <c r="C180" s="4" t="inlineStr">
        <is>
          <t>Food &amp; Beverage</t>
        </is>
      </c>
      <c r="D180" s="4" t="inlineStr">
        <is>
          <t>2025-04-22</t>
        </is>
      </c>
      <c r="E180" s="8" t="n">
        <v>1500000</v>
      </c>
      <c r="F180" s="4" t="n">
        <v>24</v>
      </c>
      <c r="G180" s="8" t="n">
        <v>90000</v>
      </c>
      <c r="H180" s="8" t="n">
        <v>2160000</v>
      </c>
      <c r="I180" s="8" t="n">
        <v>1260000</v>
      </c>
      <c r="J180" s="8" t="n">
        <v>990000</v>
      </c>
      <c r="K180" s="8" t="n">
        <v>-270000</v>
      </c>
      <c r="L180" s="8" t="n">
        <v>1170000</v>
      </c>
      <c r="M180" s="4" t="n">
        <v>40</v>
      </c>
      <c r="N180" s="4" t="inlineStr">
        <is>
          <t>31-90 dpd</t>
        </is>
      </c>
      <c r="O180" s="4" t="n">
        <v>14</v>
      </c>
    </row>
    <row r="181">
      <c r="A181" s="4" t="inlineStr">
        <is>
          <t>L1179</t>
        </is>
      </c>
      <c r="B181" s="4" t="inlineStr">
        <is>
          <t>Pioneer Logistics</t>
        </is>
      </c>
      <c r="C181" s="4" t="inlineStr">
        <is>
          <t>Manufacturing</t>
        </is>
      </c>
      <c r="D181" s="4" t="inlineStr">
        <is>
          <t>2025-03-16</t>
        </is>
      </c>
      <c r="E181" s="8" t="n">
        <v>750000</v>
      </c>
      <c r="F181" s="4" t="n">
        <v>6</v>
      </c>
      <c r="G181" s="8" t="n">
        <v>138750</v>
      </c>
      <c r="H181" s="8" t="n">
        <v>832500</v>
      </c>
      <c r="I181" s="8" t="n">
        <v>832500</v>
      </c>
      <c r="J181" s="8" t="n">
        <v>832500</v>
      </c>
      <c r="K181" s="8" t="n">
        <v>0</v>
      </c>
      <c r="L181" s="8" t="n">
        <v>0</v>
      </c>
      <c r="M181" s="4" t="n">
        <v>0</v>
      </c>
      <c r="N181" s="4" t="inlineStr">
        <is>
          <t>Current</t>
        </is>
      </c>
      <c r="O181" s="4" t="n">
        <v>15</v>
      </c>
    </row>
    <row r="182">
      <c r="A182" s="4" t="inlineStr">
        <is>
          <t>L1180</t>
        </is>
      </c>
      <c r="B182" s="4" t="inlineStr">
        <is>
          <t>Bright Works</t>
        </is>
      </c>
      <c r="C182" s="4" t="inlineStr">
        <is>
          <t>Manufacturing</t>
        </is>
      </c>
      <c r="D182" s="4" t="inlineStr">
        <is>
          <t>2026-02-14</t>
        </is>
      </c>
      <c r="E182" s="8" t="n">
        <v>3000000</v>
      </c>
      <c r="F182" s="4" t="n">
        <v>12</v>
      </c>
      <c r="G182" s="8" t="n">
        <v>295000</v>
      </c>
      <c r="H182" s="8" t="n">
        <v>3540000</v>
      </c>
      <c r="I182" s="8" t="n">
        <v>1180000</v>
      </c>
      <c r="J182" s="8" t="n">
        <v>295000</v>
      </c>
      <c r="K182" s="8" t="n">
        <v>-885000</v>
      </c>
      <c r="L182" s="8" t="n">
        <v>3245000</v>
      </c>
      <c r="M182" s="4" t="n">
        <v>48</v>
      </c>
      <c r="N182" s="4" t="inlineStr">
        <is>
          <t>31-90 dpd</t>
        </is>
      </c>
      <c r="O182" s="4" t="n">
        <v>4</v>
      </c>
    </row>
    <row r="183">
      <c r="A183" s="4" t="inlineStr">
        <is>
          <t>L1181</t>
        </is>
      </c>
      <c r="B183" s="4" t="inlineStr">
        <is>
          <t>Harvest Supplies</t>
        </is>
      </c>
      <c r="C183" s="4" t="inlineStr">
        <is>
          <t>Retail</t>
        </is>
      </c>
      <c r="D183" s="4" t="inlineStr">
        <is>
          <t>2026-01-03</t>
        </is>
      </c>
      <c r="E183" s="8" t="n">
        <v>750000</v>
      </c>
      <c r="F183" s="4" t="n">
        <v>6</v>
      </c>
      <c r="G183" s="8" t="n">
        <v>136250</v>
      </c>
      <c r="H183" s="8" t="n">
        <v>817500</v>
      </c>
      <c r="I183" s="8" t="n">
        <v>681250</v>
      </c>
      <c r="J183" s="8" t="n">
        <v>136250</v>
      </c>
      <c r="K183" s="8" t="n">
        <v>-545000</v>
      </c>
      <c r="L183" s="8" t="n">
        <v>681250</v>
      </c>
      <c r="M183" s="4" t="n">
        <v>90</v>
      </c>
      <c r="N183" s="4" t="inlineStr">
        <is>
          <t>31-90 dpd</t>
        </is>
      </c>
      <c r="O183" s="4" t="n">
        <v>5</v>
      </c>
    </row>
    <row r="184">
      <c r="A184" s="4" t="inlineStr">
        <is>
          <t>L1182</t>
        </is>
      </c>
      <c r="B184" s="4" t="inlineStr">
        <is>
          <t>Coastal Stores</t>
        </is>
      </c>
      <c r="C184" s="4" t="inlineStr">
        <is>
          <t>Retail</t>
        </is>
      </c>
      <c r="D184" s="4" t="inlineStr">
        <is>
          <t>2026-05-13</t>
        </is>
      </c>
      <c r="E184" s="8" t="n">
        <v>500000</v>
      </c>
      <c r="F184" s="4" t="n">
        <v>12</v>
      </c>
      <c r="G184" s="8" t="n">
        <v>54166.67</v>
      </c>
      <c r="H184" s="8" t="n">
        <v>650000.04</v>
      </c>
      <c r="I184" s="8" t="n">
        <v>54166.67</v>
      </c>
      <c r="J184" s="8" t="n">
        <v>0</v>
      </c>
      <c r="K184" s="8" t="n">
        <v>-54166.67</v>
      </c>
      <c r="L184" s="8" t="n">
        <v>650000.04</v>
      </c>
      <c r="M184" s="4" t="n">
        <v>0</v>
      </c>
      <c r="N184" s="4" t="inlineStr">
        <is>
          <t>Current</t>
        </is>
      </c>
      <c r="O184" s="4" t="n">
        <v>1</v>
      </c>
    </row>
    <row r="185">
      <c r="A185" s="4" t="inlineStr">
        <is>
          <t>L1183</t>
        </is>
      </c>
      <c r="B185" s="4" t="inlineStr">
        <is>
          <t>Bright Farms</t>
        </is>
      </c>
      <c r="C185" s="4" t="inlineStr">
        <is>
          <t>Construction</t>
        </is>
      </c>
      <c r="D185" s="4" t="inlineStr">
        <is>
          <t>2026-03-04</t>
        </is>
      </c>
      <c r="E185" s="8" t="n">
        <v>1500000</v>
      </c>
      <c r="F185" s="4" t="n">
        <v>9</v>
      </c>
      <c r="G185" s="8" t="n">
        <v>204166.67</v>
      </c>
      <c r="H185" s="8" t="n">
        <v>1837500.03</v>
      </c>
      <c r="I185" s="8" t="n">
        <v>612500.01</v>
      </c>
      <c r="J185" s="8" t="n">
        <v>204166.67</v>
      </c>
      <c r="K185" s="8" t="n">
        <v>-408333.34</v>
      </c>
      <c r="L185" s="8" t="n">
        <v>1633333.36</v>
      </c>
      <c r="M185" s="4" t="n">
        <v>28</v>
      </c>
      <c r="N185" s="4" t="inlineStr">
        <is>
          <t>1-30 dpd</t>
        </is>
      </c>
      <c r="O185" s="4" t="n">
        <v>3</v>
      </c>
    </row>
    <row r="186">
      <c r="A186" s="4" t="inlineStr">
        <is>
          <t>L1184</t>
        </is>
      </c>
      <c r="B186" s="4" t="inlineStr">
        <is>
          <t>Metro Foods</t>
        </is>
      </c>
      <c r="C186" s="4" t="inlineStr">
        <is>
          <t>Agriculture</t>
        </is>
      </c>
      <c r="D186" s="4" t="inlineStr">
        <is>
          <t>2025-08-06</t>
        </is>
      </c>
      <c r="E186" s="8" t="n">
        <v>3000000</v>
      </c>
      <c r="F186" s="4" t="n">
        <v>9</v>
      </c>
      <c r="G186" s="8" t="n">
        <v>388333.33</v>
      </c>
      <c r="H186" s="8" t="n">
        <v>3494999.97</v>
      </c>
      <c r="I186" s="8" t="n">
        <v>3494999.97</v>
      </c>
      <c r="J186" s="8" t="n">
        <v>3494999.97</v>
      </c>
      <c r="K186" s="8" t="n">
        <v>0</v>
      </c>
      <c r="L186" s="8" t="n">
        <v>0</v>
      </c>
      <c r="M186" s="4" t="n">
        <v>0</v>
      </c>
      <c r="N186" s="4" t="inlineStr">
        <is>
          <t>Current</t>
        </is>
      </c>
      <c r="O186" s="4" t="n">
        <v>10</v>
      </c>
    </row>
    <row r="187">
      <c r="A187" s="4" t="inlineStr">
        <is>
          <t>L1185</t>
        </is>
      </c>
      <c r="B187" s="4" t="inlineStr">
        <is>
          <t>Lagoon Ventures</t>
        </is>
      </c>
      <c r="C187" s="4" t="inlineStr">
        <is>
          <t>Retail</t>
        </is>
      </c>
      <c r="D187" s="4" t="inlineStr">
        <is>
          <t>2025-02-01</t>
        </is>
      </c>
      <c r="E187" s="8" t="n">
        <v>750000</v>
      </c>
      <c r="F187" s="4" t="n">
        <v>6</v>
      </c>
      <c r="G187" s="8" t="n">
        <v>138750</v>
      </c>
      <c r="H187" s="8" t="n">
        <v>832500</v>
      </c>
      <c r="I187" s="8" t="n">
        <v>832500</v>
      </c>
      <c r="J187" s="8" t="n">
        <v>693750</v>
      </c>
      <c r="K187" s="8" t="n">
        <v>-138750</v>
      </c>
      <c r="L187" s="8" t="n">
        <v>138750</v>
      </c>
      <c r="M187" s="4" t="n">
        <v>304</v>
      </c>
      <c r="N187" s="4" t="inlineStr">
        <is>
          <t>90+ dpd</t>
        </is>
      </c>
      <c r="O187" s="4" t="n">
        <v>16</v>
      </c>
    </row>
    <row r="188">
      <c r="A188" s="4" t="inlineStr">
        <is>
          <t>L1186</t>
        </is>
      </c>
      <c r="B188" s="4" t="inlineStr">
        <is>
          <t>Coastal Holdings</t>
        </is>
      </c>
      <c r="C188" s="4" t="inlineStr">
        <is>
          <t>Agriculture</t>
        </is>
      </c>
      <c r="D188" s="4" t="inlineStr">
        <is>
          <t>2025-01-14</t>
        </is>
      </c>
      <c r="E188" s="8" t="n">
        <v>500000</v>
      </c>
      <c r="F188" s="4" t="n">
        <v>12</v>
      </c>
      <c r="G188" s="8" t="n">
        <v>49166.67</v>
      </c>
      <c r="H188" s="8" t="n">
        <v>590000.04</v>
      </c>
      <c r="I188" s="8" t="n">
        <v>590000.04</v>
      </c>
      <c r="J188" s="8" t="n">
        <v>590000.04</v>
      </c>
      <c r="K188" s="8" t="n">
        <v>0</v>
      </c>
      <c r="L188" s="8" t="n">
        <v>0</v>
      </c>
      <c r="M188" s="4" t="n">
        <v>0</v>
      </c>
      <c r="N188" s="4" t="inlineStr">
        <is>
          <t>Current</t>
        </is>
      </c>
      <c r="O188" s="4" t="n">
        <v>17</v>
      </c>
    </row>
    <row r="189">
      <c r="A189" s="4" t="inlineStr">
        <is>
          <t>L1187</t>
        </is>
      </c>
      <c r="B189" s="4" t="inlineStr">
        <is>
          <t>Harvest Foods</t>
        </is>
      </c>
      <c r="C189" s="4" t="inlineStr">
        <is>
          <t>Fashion</t>
        </is>
      </c>
      <c r="D189" s="4" t="inlineStr">
        <is>
          <t>2025-09-22</t>
        </is>
      </c>
      <c r="E189" s="8" t="n">
        <v>1000000</v>
      </c>
      <c r="F189" s="4" t="n">
        <v>24</v>
      </c>
      <c r="G189" s="8" t="n">
        <v>63333.33</v>
      </c>
      <c r="H189" s="8" t="n">
        <v>1519999.92</v>
      </c>
      <c r="I189" s="8" t="n">
        <v>569999.97</v>
      </c>
      <c r="J189" s="8" t="n">
        <v>506666.64</v>
      </c>
      <c r="K189" s="8" t="n">
        <v>-63333.33</v>
      </c>
      <c r="L189" s="8" t="n">
        <v>1013333.28</v>
      </c>
      <c r="M189" s="4" t="n">
        <v>0</v>
      </c>
      <c r="N189" s="4" t="inlineStr">
        <is>
          <t>Current</t>
        </is>
      </c>
      <c r="O189" s="4" t="n">
        <v>9</v>
      </c>
    </row>
    <row r="190">
      <c r="A190" s="4" t="inlineStr">
        <is>
          <t>L1188</t>
        </is>
      </c>
      <c r="B190" s="4" t="inlineStr">
        <is>
          <t>Pioneer Holdings</t>
        </is>
      </c>
      <c r="C190" s="4" t="inlineStr">
        <is>
          <t>Logistics</t>
        </is>
      </c>
      <c r="D190" s="4" t="inlineStr">
        <is>
          <t>2025-10-07</t>
        </is>
      </c>
      <c r="E190" s="8" t="n">
        <v>3000000</v>
      </c>
      <c r="F190" s="4" t="n">
        <v>12</v>
      </c>
      <c r="G190" s="8" t="n">
        <v>325000</v>
      </c>
      <c r="H190" s="8" t="n">
        <v>3900000</v>
      </c>
      <c r="I190" s="8" t="n">
        <v>2600000</v>
      </c>
      <c r="J190" s="8" t="n">
        <v>2275000</v>
      </c>
      <c r="K190" s="8" t="n">
        <v>-325000</v>
      </c>
      <c r="L190" s="8" t="n">
        <v>1625000</v>
      </c>
      <c r="M190" s="4" t="n">
        <v>0</v>
      </c>
      <c r="N190" s="4" t="inlineStr">
        <is>
          <t>Current</t>
        </is>
      </c>
      <c r="O190" s="4" t="n">
        <v>8</v>
      </c>
    </row>
    <row r="191">
      <c r="A191" s="4" t="inlineStr">
        <is>
          <t>L1189</t>
        </is>
      </c>
      <c r="B191" s="4" t="inlineStr">
        <is>
          <t>Bright Traders</t>
        </is>
      </c>
      <c r="C191" s="4" t="inlineStr">
        <is>
          <t>Agriculture</t>
        </is>
      </c>
      <c r="D191" s="4" t="inlineStr">
        <is>
          <t>2026-01-09</t>
        </is>
      </c>
      <c r="E191" s="8" t="n">
        <v>500000</v>
      </c>
      <c r="F191" s="4" t="n">
        <v>24</v>
      </c>
      <c r="G191" s="8" t="n">
        <v>30000</v>
      </c>
      <c r="H191" s="8" t="n">
        <v>720000</v>
      </c>
      <c r="I191" s="8" t="n">
        <v>150000</v>
      </c>
      <c r="J191" s="8" t="n">
        <v>120000</v>
      </c>
      <c r="K191" s="8" t="n">
        <v>-30000</v>
      </c>
      <c r="L191" s="8" t="n">
        <v>600000</v>
      </c>
      <c r="M191" s="4" t="n">
        <v>0</v>
      </c>
      <c r="N191" s="4" t="inlineStr">
        <is>
          <t>Current</t>
        </is>
      </c>
      <c r="O191" s="4" t="n">
        <v>5</v>
      </c>
    </row>
    <row r="192">
      <c r="A192" s="4" t="inlineStr">
        <is>
          <t>L1190</t>
        </is>
      </c>
      <c r="B192" s="4" t="inlineStr">
        <is>
          <t>Bright Logistics</t>
        </is>
      </c>
      <c r="C192" s="4" t="inlineStr">
        <is>
          <t>Food &amp; Beverage</t>
        </is>
      </c>
      <c r="D192" s="4" t="inlineStr">
        <is>
          <t>2026-03-20</t>
        </is>
      </c>
      <c r="E192" s="8" t="n">
        <v>500000</v>
      </c>
      <c r="F192" s="4" t="n">
        <v>6</v>
      </c>
      <c r="G192" s="8" t="n">
        <v>94166.67</v>
      </c>
      <c r="H192" s="8" t="n">
        <v>565000.02</v>
      </c>
      <c r="I192" s="8" t="n">
        <v>282500.01</v>
      </c>
      <c r="J192" s="8" t="n">
        <v>0</v>
      </c>
      <c r="K192" s="8" t="n">
        <v>-282500.01</v>
      </c>
      <c r="L192" s="8" t="n">
        <v>565000.02</v>
      </c>
      <c r="M192" s="4" t="n">
        <v>42</v>
      </c>
      <c r="N192" s="4" t="inlineStr">
        <is>
          <t>31-90 dpd</t>
        </is>
      </c>
      <c r="O192" s="4" t="n">
        <v>3</v>
      </c>
    </row>
    <row r="193">
      <c r="A193" s="4" t="inlineStr">
        <is>
          <t>L1191</t>
        </is>
      </c>
      <c r="B193" s="4" t="inlineStr">
        <is>
          <t>Summit Services</t>
        </is>
      </c>
      <c r="C193" s="4" t="inlineStr">
        <is>
          <t>Retail</t>
        </is>
      </c>
      <c r="D193" s="4" t="inlineStr">
        <is>
          <t>2024-12-25</t>
        </is>
      </c>
      <c r="E193" s="8" t="n">
        <v>250000</v>
      </c>
      <c r="F193" s="4" t="n">
        <v>6</v>
      </c>
      <c r="G193" s="8" t="n">
        <v>47916.67</v>
      </c>
      <c r="H193" s="8" t="n">
        <v>287500.02</v>
      </c>
      <c r="I193" s="8" t="n">
        <v>287500.02</v>
      </c>
      <c r="J193" s="8" t="n">
        <v>287500.02</v>
      </c>
      <c r="K193" s="8" t="n">
        <v>0</v>
      </c>
      <c r="L193" s="8" t="n">
        <v>0</v>
      </c>
      <c r="M193" s="4" t="n">
        <v>0</v>
      </c>
      <c r="N193" s="4" t="inlineStr">
        <is>
          <t>Current</t>
        </is>
      </c>
      <c r="O193" s="4" t="n">
        <v>18</v>
      </c>
    </row>
    <row r="194">
      <c r="A194" s="4" t="inlineStr">
        <is>
          <t>L1192</t>
        </is>
      </c>
      <c r="B194" s="4" t="inlineStr">
        <is>
          <t>Harvest Ventures</t>
        </is>
      </c>
      <c r="C194" s="4" t="inlineStr">
        <is>
          <t>Health</t>
        </is>
      </c>
      <c r="D194" s="4" t="inlineStr">
        <is>
          <t>2025-02-03</t>
        </is>
      </c>
      <c r="E194" s="8" t="n">
        <v>1500000</v>
      </c>
      <c r="F194" s="4" t="n">
        <v>18</v>
      </c>
      <c r="G194" s="8" t="n">
        <v>110833.33</v>
      </c>
      <c r="H194" s="8" t="n">
        <v>1994999.94</v>
      </c>
      <c r="I194" s="8" t="n">
        <v>1773333.28</v>
      </c>
      <c r="J194" s="8" t="n">
        <v>1440833.29</v>
      </c>
      <c r="K194" s="8" t="n">
        <v>-332499.99</v>
      </c>
      <c r="L194" s="8" t="n">
        <v>554166.65</v>
      </c>
      <c r="M194" s="4" t="n">
        <v>59</v>
      </c>
      <c r="N194" s="4" t="inlineStr">
        <is>
          <t>31-90 dpd</t>
        </is>
      </c>
      <c r="O194" s="4" t="n">
        <v>16</v>
      </c>
    </row>
    <row r="195">
      <c r="A195" s="4" t="inlineStr">
        <is>
          <t>L1193</t>
        </is>
      </c>
      <c r="B195" s="4" t="inlineStr">
        <is>
          <t>Bright Logistics</t>
        </is>
      </c>
      <c r="C195" s="4" t="inlineStr">
        <is>
          <t>Education</t>
        </is>
      </c>
      <c r="D195" s="4" t="inlineStr">
        <is>
          <t>2025-04-16</t>
        </is>
      </c>
      <c r="E195" s="8" t="n">
        <v>1500000</v>
      </c>
      <c r="F195" s="4" t="n">
        <v>24</v>
      </c>
      <c r="G195" s="8" t="n">
        <v>90000</v>
      </c>
      <c r="H195" s="8" t="n">
        <v>2160000</v>
      </c>
      <c r="I195" s="8" t="n">
        <v>1260000</v>
      </c>
      <c r="J195" s="8" t="n">
        <v>1125000</v>
      </c>
      <c r="K195" s="8" t="n">
        <v>-135000</v>
      </c>
      <c r="L195" s="8" t="n">
        <v>1035000</v>
      </c>
      <c r="M195" s="4" t="n">
        <v>16</v>
      </c>
      <c r="N195" s="4" t="inlineStr">
        <is>
          <t>1-30 dpd</t>
        </is>
      </c>
      <c r="O195" s="4" t="n">
        <v>14</v>
      </c>
    </row>
    <row r="196">
      <c r="A196" s="4" t="inlineStr">
        <is>
          <t>L1194</t>
        </is>
      </c>
      <c r="B196" s="4" t="inlineStr">
        <is>
          <t>Crown Works</t>
        </is>
      </c>
      <c r="C196" s="4" t="inlineStr">
        <is>
          <t>Education</t>
        </is>
      </c>
      <c r="D196" s="4" t="inlineStr">
        <is>
          <t>2025-09-17</t>
        </is>
      </c>
      <c r="E196" s="8" t="n">
        <v>1000000</v>
      </c>
      <c r="F196" s="4" t="n">
        <v>6</v>
      </c>
      <c r="G196" s="8" t="n">
        <v>191666.67</v>
      </c>
      <c r="H196" s="8" t="n">
        <v>1150000.02</v>
      </c>
      <c r="I196" s="8" t="n">
        <v>1150000.02</v>
      </c>
      <c r="J196" s="8" t="n">
        <v>1150000.02</v>
      </c>
      <c r="K196" s="8" t="n">
        <v>0</v>
      </c>
      <c r="L196" s="8" t="n">
        <v>0</v>
      </c>
      <c r="M196" s="4" t="n">
        <v>0</v>
      </c>
      <c r="N196" s="4" t="inlineStr">
        <is>
          <t>Current</t>
        </is>
      </c>
      <c r="O196" s="4" t="n">
        <v>9</v>
      </c>
    </row>
    <row r="197">
      <c r="A197" s="4" t="inlineStr">
        <is>
          <t>L1195</t>
        </is>
      </c>
      <c r="B197" s="4" t="inlineStr">
        <is>
          <t>Unity Works</t>
        </is>
      </c>
      <c r="C197" s="4" t="inlineStr">
        <is>
          <t>Construction</t>
        </is>
      </c>
      <c r="D197" s="4" t="inlineStr">
        <is>
          <t>2025-05-07</t>
        </is>
      </c>
      <c r="E197" s="8" t="n">
        <v>500000</v>
      </c>
      <c r="F197" s="4" t="n">
        <v>24</v>
      </c>
      <c r="G197" s="8" t="n">
        <v>31666.67</v>
      </c>
      <c r="H197" s="8" t="n">
        <v>760000.08</v>
      </c>
      <c r="I197" s="8" t="n">
        <v>411666.71</v>
      </c>
      <c r="J197" s="8" t="n">
        <v>380000.04</v>
      </c>
      <c r="K197" s="8" t="n">
        <v>-31666.67</v>
      </c>
      <c r="L197" s="8" t="n">
        <v>380000.04</v>
      </c>
      <c r="M197" s="4" t="n">
        <v>0</v>
      </c>
      <c r="N197" s="4" t="inlineStr">
        <is>
          <t>Current</t>
        </is>
      </c>
      <c r="O197" s="4" t="n">
        <v>13</v>
      </c>
    </row>
    <row r="198">
      <c r="A198" s="4" t="inlineStr">
        <is>
          <t>L1196</t>
        </is>
      </c>
      <c r="B198" s="4" t="inlineStr">
        <is>
          <t>Sterling Ventures</t>
        </is>
      </c>
      <c r="C198" s="4" t="inlineStr">
        <is>
          <t>Fashion</t>
        </is>
      </c>
      <c r="D198" s="4" t="inlineStr">
        <is>
          <t>2026-04-27</t>
        </is>
      </c>
      <c r="E198" s="8" t="n">
        <v>250000</v>
      </c>
      <c r="F198" s="4" t="n">
        <v>9</v>
      </c>
      <c r="G198" s="8" t="n">
        <v>33194.44</v>
      </c>
      <c r="H198" s="8" t="n">
        <v>298749.96</v>
      </c>
      <c r="I198" s="8" t="n">
        <v>66388.88</v>
      </c>
      <c r="J198" s="8" t="n">
        <v>0</v>
      </c>
      <c r="K198" s="8" t="n">
        <v>-66388.88</v>
      </c>
      <c r="L198" s="8" t="n">
        <v>298749.96</v>
      </c>
      <c r="M198" s="4" t="n">
        <v>5</v>
      </c>
      <c r="N198" s="4" t="inlineStr">
        <is>
          <t>1-30 dpd</t>
        </is>
      </c>
      <c r="O198" s="4" t="n">
        <v>2</v>
      </c>
    </row>
    <row r="199">
      <c r="A199" s="4" t="inlineStr">
        <is>
          <t>L1197</t>
        </is>
      </c>
      <c r="B199" s="4" t="inlineStr">
        <is>
          <t>Harvest Supplies</t>
        </is>
      </c>
      <c r="C199" s="4" t="inlineStr">
        <is>
          <t>Agriculture</t>
        </is>
      </c>
      <c r="D199" s="4" t="inlineStr">
        <is>
          <t>2025-09-22</t>
        </is>
      </c>
      <c r="E199" s="8" t="n">
        <v>250000</v>
      </c>
      <c r="F199" s="4" t="n">
        <v>18</v>
      </c>
      <c r="G199" s="8" t="n">
        <v>18472.22</v>
      </c>
      <c r="H199" s="8" t="n">
        <v>332499.96</v>
      </c>
      <c r="I199" s="8" t="n">
        <v>166249.98</v>
      </c>
      <c r="J199" s="8" t="n">
        <v>147777.76</v>
      </c>
      <c r="K199" s="8" t="n">
        <v>-18472.22</v>
      </c>
      <c r="L199" s="8" t="n">
        <v>184722.2</v>
      </c>
      <c r="M199" s="4" t="n">
        <v>0</v>
      </c>
      <c r="N199" s="4" t="inlineStr">
        <is>
          <t>Current</t>
        </is>
      </c>
      <c r="O199" s="4" t="n">
        <v>9</v>
      </c>
    </row>
    <row r="200">
      <c r="A200" s="4" t="inlineStr">
        <is>
          <t>L1198</t>
        </is>
      </c>
      <c r="B200" s="4" t="inlineStr">
        <is>
          <t>Bright Enterprises</t>
        </is>
      </c>
      <c r="C200" s="4" t="inlineStr">
        <is>
          <t>Fashion</t>
        </is>
      </c>
      <c r="D200" s="4" t="inlineStr">
        <is>
          <t>2025-11-09</t>
        </is>
      </c>
      <c r="E200" s="8" t="n">
        <v>2000000</v>
      </c>
      <c r="F200" s="4" t="n">
        <v>6</v>
      </c>
      <c r="G200" s="8" t="n">
        <v>383333.33</v>
      </c>
      <c r="H200" s="8" t="n">
        <v>2299999.98</v>
      </c>
      <c r="I200" s="8" t="n">
        <v>2299999.98</v>
      </c>
      <c r="J200" s="8" t="n">
        <v>2299999.98</v>
      </c>
      <c r="K200" s="8" t="n">
        <v>0</v>
      </c>
      <c r="L200" s="8" t="n">
        <v>0</v>
      </c>
      <c r="M200" s="4" t="n">
        <v>0</v>
      </c>
      <c r="N200" s="4" t="inlineStr">
        <is>
          <t>Current</t>
        </is>
      </c>
      <c r="O200" s="4" t="n">
        <v>7</v>
      </c>
    </row>
    <row r="201">
      <c r="A201" s="4" t="inlineStr">
        <is>
          <t>L1199</t>
        </is>
      </c>
      <c r="B201" s="4" t="inlineStr">
        <is>
          <t>Crown Farms</t>
        </is>
      </c>
      <c r="C201" s="4" t="inlineStr">
        <is>
          <t>Technology</t>
        </is>
      </c>
      <c r="D201" s="4" t="inlineStr">
        <is>
          <t>2025-06-01</t>
        </is>
      </c>
      <c r="E201" s="8" t="n">
        <v>1500000</v>
      </c>
      <c r="F201" s="4" t="n">
        <v>6</v>
      </c>
      <c r="G201" s="8" t="n">
        <v>282500</v>
      </c>
      <c r="H201" s="8" t="n">
        <v>1695000</v>
      </c>
      <c r="I201" s="8" t="n">
        <v>1695000</v>
      </c>
      <c r="J201" s="8" t="n">
        <v>1695000</v>
      </c>
      <c r="K201" s="8" t="n">
        <v>0</v>
      </c>
      <c r="L201" s="8" t="n">
        <v>0</v>
      </c>
      <c r="M201" s="4" t="n">
        <v>0</v>
      </c>
      <c r="N201" s="4" t="inlineStr">
        <is>
          <t>Current</t>
        </is>
      </c>
      <c r="O201" s="4" t="n">
        <v>12</v>
      </c>
    </row>
    <row r="202">
      <c r="A202" s="4" t="inlineStr">
        <is>
          <t>L1200</t>
        </is>
      </c>
      <c r="B202" s="4" t="inlineStr">
        <is>
          <t>Lagoon Ventures</t>
        </is>
      </c>
      <c r="C202" s="4" t="inlineStr">
        <is>
          <t>Health</t>
        </is>
      </c>
      <c r="D202" s="4" t="inlineStr">
        <is>
          <t>2025-05-20</t>
        </is>
      </c>
      <c r="E202" s="8" t="n">
        <v>2000000</v>
      </c>
      <c r="F202" s="4" t="n">
        <v>9</v>
      </c>
      <c r="G202" s="8" t="n">
        <v>252222.22</v>
      </c>
      <c r="H202" s="8" t="n">
        <v>2269999.98</v>
      </c>
      <c r="I202" s="8" t="n">
        <v>2269999.98</v>
      </c>
      <c r="J202" s="8" t="n">
        <v>1513333.32</v>
      </c>
      <c r="K202" s="8" t="n">
        <v>-756666.66</v>
      </c>
      <c r="L202" s="8" t="n">
        <v>756666.66</v>
      </c>
      <c r="M202" s="4" t="n">
        <v>163</v>
      </c>
      <c r="N202" s="4" t="inlineStr">
        <is>
          <t>90+ dpd</t>
        </is>
      </c>
      <c r="O202" s="4" t="n">
        <v>13</v>
      </c>
    </row>
    <row r="203">
      <c r="A203" s="4" t="inlineStr">
        <is>
          <t>L1201</t>
        </is>
      </c>
      <c r="B203" s="4" t="inlineStr">
        <is>
          <t>Pioneer Stores</t>
        </is>
      </c>
      <c r="C203" s="4" t="inlineStr">
        <is>
          <t>Food &amp; Beverage</t>
        </is>
      </c>
      <c r="D203" s="4" t="inlineStr">
        <is>
          <t>2025-04-04</t>
        </is>
      </c>
      <c r="E203" s="8" t="n">
        <v>2000000</v>
      </c>
      <c r="F203" s="4" t="n">
        <v>6</v>
      </c>
      <c r="G203" s="8" t="n">
        <v>376666.67</v>
      </c>
      <c r="H203" s="8" t="n">
        <v>2260000.02</v>
      </c>
      <c r="I203" s="8" t="n">
        <v>2260000.02</v>
      </c>
      <c r="J203" s="8" t="n">
        <v>2260000.02</v>
      </c>
      <c r="K203" s="8" t="n">
        <v>0</v>
      </c>
      <c r="L203" s="8" t="n">
        <v>0</v>
      </c>
      <c r="M203" s="4" t="n">
        <v>0</v>
      </c>
      <c r="N203" s="4" t="inlineStr">
        <is>
          <t>Current</t>
        </is>
      </c>
      <c r="O203" s="4" t="n">
        <v>14</v>
      </c>
    </row>
    <row r="204">
      <c r="A204" s="4" t="inlineStr">
        <is>
          <t>L1202</t>
        </is>
      </c>
      <c r="B204" s="4" t="inlineStr">
        <is>
          <t>Bright Works</t>
        </is>
      </c>
      <c r="C204" s="4" t="inlineStr">
        <is>
          <t>Retail</t>
        </is>
      </c>
      <c r="D204" s="4" t="inlineStr">
        <is>
          <t>2026-02-14</t>
        </is>
      </c>
      <c r="E204" s="8" t="n">
        <v>250000</v>
      </c>
      <c r="F204" s="4" t="n">
        <v>24</v>
      </c>
      <c r="G204" s="8" t="n">
        <v>15000</v>
      </c>
      <c r="H204" s="8" t="n">
        <v>360000</v>
      </c>
      <c r="I204" s="8" t="n">
        <v>60000</v>
      </c>
      <c r="J204" s="8" t="n">
        <v>30000</v>
      </c>
      <c r="K204" s="8" t="n">
        <v>-30000</v>
      </c>
      <c r="L204" s="8" t="n">
        <v>330000</v>
      </c>
      <c r="M204" s="4" t="n">
        <v>18</v>
      </c>
      <c r="N204" s="4" t="inlineStr">
        <is>
          <t>1-30 dpd</t>
        </is>
      </c>
      <c r="O204" s="4" t="n">
        <v>4</v>
      </c>
    </row>
    <row r="205">
      <c r="A205" s="4" t="inlineStr">
        <is>
          <t>L1203</t>
        </is>
      </c>
      <c r="B205" s="4" t="inlineStr">
        <is>
          <t>Prime Supplies</t>
        </is>
      </c>
      <c r="C205" s="4" t="inlineStr">
        <is>
          <t>Education</t>
        </is>
      </c>
      <c r="D205" s="4" t="inlineStr">
        <is>
          <t>2025-09-27</t>
        </is>
      </c>
      <c r="E205" s="8" t="n">
        <v>1500000</v>
      </c>
      <c r="F205" s="4" t="n">
        <v>12</v>
      </c>
      <c r="G205" s="8" t="n">
        <v>152500</v>
      </c>
      <c r="H205" s="8" t="n">
        <v>1830000</v>
      </c>
      <c r="I205" s="8" t="n">
        <v>1372500</v>
      </c>
      <c r="J205" s="8" t="n">
        <v>1220000</v>
      </c>
      <c r="K205" s="8" t="n">
        <v>-152500</v>
      </c>
      <c r="L205" s="8" t="n">
        <v>610000</v>
      </c>
      <c r="M205" s="4" t="n">
        <v>0</v>
      </c>
      <c r="N205" s="4" t="inlineStr">
        <is>
          <t>Current</t>
        </is>
      </c>
      <c r="O205" s="4" t="n">
        <v>9</v>
      </c>
    </row>
    <row r="206">
      <c r="A206" s="4" t="inlineStr">
        <is>
          <t>L1204</t>
        </is>
      </c>
      <c r="B206" s="4" t="inlineStr">
        <is>
          <t>Verde Foods</t>
        </is>
      </c>
      <c r="C206" s="4" t="inlineStr">
        <is>
          <t>Logistics</t>
        </is>
      </c>
      <c r="D206" s="4" t="inlineStr">
        <is>
          <t>2025-01-24</t>
        </is>
      </c>
      <c r="E206" s="8" t="n">
        <v>750000</v>
      </c>
      <c r="F206" s="4" t="n">
        <v>12</v>
      </c>
      <c r="G206" s="8" t="n">
        <v>73750</v>
      </c>
      <c r="H206" s="8" t="n">
        <v>885000</v>
      </c>
      <c r="I206" s="8" t="n">
        <v>885000</v>
      </c>
      <c r="J206" s="8" t="n">
        <v>295000</v>
      </c>
      <c r="K206" s="8" t="n">
        <v>-590000</v>
      </c>
      <c r="L206" s="8" t="n">
        <v>590000</v>
      </c>
      <c r="M206" s="4" t="n">
        <v>342</v>
      </c>
      <c r="N206" s="4" t="inlineStr">
        <is>
          <t>90+ dpd</t>
        </is>
      </c>
      <c r="O206" s="4" t="n">
        <v>17</v>
      </c>
    </row>
    <row r="207">
      <c r="A207" s="4" t="inlineStr">
        <is>
          <t>L1205</t>
        </is>
      </c>
      <c r="B207" s="4" t="inlineStr">
        <is>
          <t>Coastal Holdings</t>
        </is>
      </c>
      <c r="C207" s="4" t="inlineStr">
        <is>
          <t>Construction</t>
        </is>
      </c>
      <c r="D207" s="4" t="inlineStr">
        <is>
          <t>2025-12-02</t>
        </is>
      </c>
      <c r="E207" s="8" t="n">
        <v>1000000</v>
      </c>
      <c r="F207" s="4" t="n">
        <v>12</v>
      </c>
      <c r="G207" s="8" t="n">
        <v>98333.33</v>
      </c>
      <c r="H207" s="8" t="n">
        <v>1179999.96</v>
      </c>
      <c r="I207" s="8" t="n">
        <v>589999.98</v>
      </c>
      <c r="J207" s="8" t="n">
        <v>491666.65</v>
      </c>
      <c r="K207" s="8" t="n">
        <v>-98333.33</v>
      </c>
      <c r="L207" s="8" t="n">
        <v>688333.3100000001</v>
      </c>
      <c r="M207" s="4" t="n">
        <v>0</v>
      </c>
      <c r="N207" s="4" t="inlineStr">
        <is>
          <t>Current</t>
        </is>
      </c>
      <c r="O207" s="4" t="n">
        <v>6</v>
      </c>
    </row>
    <row r="208">
      <c r="A208" s="4" t="inlineStr">
        <is>
          <t>L1206</t>
        </is>
      </c>
      <c r="B208" s="4" t="inlineStr">
        <is>
          <t>Verde Ventures</t>
        </is>
      </c>
      <c r="C208" s="4" t="inlineStr">
        <is>
          <t>Logistics</t>
        </is>
      </c>
      <c r="D208" s="4" t="inlineStr">
        <is>
          <t>2026-05-23</t>
        </is>
      </c>
      <c r="E208" s="8" t="n">
        <v>500000</v>
      </c>
      <c r="F208" s="4" t="n">
        <v>6</v>
      </c>
      <c r="G208" s="8" t="n">
        <v>90833.33</v>
      </c>
      <c r="H208" s="8" t="n">
        <v>544999.98</v>
      </c>
      <c r="I208" s="8" t="n">
        <v>90833.33</v>
      </c>
      <c r="J208" s="8" t="n">
        <v>0</v>
      </c>
      <c r="K208" s="8" t="n">
        <v>-90833.33</v>
      </c>
      <c r="L208" s="8" t="n">
        <v>544999.98</v>
      </c>
      <c r="M208" s="4" t="n">
        <v>0</v>
      </c>
      <c r="N208" s="4" t="inlineStr">
        <is>
          <t>Current</t>
        </is>
      </c>
      <c r="O208" s="4" t="n">
        <v>1</v>
      </c>
    </row>
    <row r="209">
      <c r="A209" s="4" t="inlineStr">
        <is>
          <t>L1207</t>
        </is>
      </c>
      <c r="B209" s="4" t="inlineStr">
        <is>
          <t>Verde Foods</t>
        </is>
      </c>
      <c r="C209" s="4" t="inlineStr">
        <is>
          <t>Health</t>
        </is>
      </c>
      <c r="D209" s="4" t="inlineStr">
        <is>
          <t>2026-03-24</t>
        </is>
      </c>
      <c r="E209" s="8" t="n">
        <v>2000000</v>
      </c>
      <c r="F209" s="4" t="n">
        <v>9</v>
      </c>
      <c r="G209" s="8" t="n">
        <v>265555.56</v>
      </c>
      <c r="H209" s="8" t="n">
        <v>2390000.04</v>
      </c>
      <c r="I209" s="8" t="n">
        <v>796666.6800000001</v>
      </c>
      <c r="J209" s="8" t="n">
        <v>531111.12</v>
      </c>
      <c r="K209" s="8" t="n">
        <v>-265555.56</v>
      </c>
      <c r="L209" s="8" t="n">
        <v>1858888.92</v>
      </c>
      <c r="M209" s="4" t="n">
        <v>0</v>
      </c>
      <c r="N209" s="4" t="inlineStr">
        <is>
          <t>Current</t>
        </is>
      </c>
      <c r="O209" s="4" t="n">
        <v>3</v>
      </c>
    </row>
    <row r="210">
      <c r="A210" s="4" t="inlineStr">
        <is>
          <t>L1208</t>
        </is>
      </c>
      <c r="B210" s="4" t="inlineStr">
        <is>
          <t>Crown Services</t>
        </is>
      </c>
      <c r="C210" s="4" t="inlineStr">
        <is>
          <t>Health</t>
        </is>
      </c>
      <c r="D210" s="4" t="inlineStr">
        <is>
          <t>2025-09-11</t>
        </is>
      </c>
      <c r="E210" s="8" t="n">
        <v>2000000</v>
      </c>
      <c r="F210" s="4" t="n">
        <v>18</v>
      </c>
      <c r="G210" s="8" t="n">
        <v>154444.44</v>
      </c>
      <c r="H210" s="8" t="n">
        <v>2779999.92</v>
      </c>
      <c r="I210" s="8" t="n">
        <v>1389999.96</v>
      </c>
      <c r="J210" s="8" t="n">
        <v>1235555.52</v>
      </c>
      <c r="K210" s="8" t="n">
        <v>-154444.44</v>
      </c>
      <c r="L210" s="8" t="n">
        <v>1544444.4</v>
      </c>
      <c r="M210" s="4" t="n">
        <v>0</v>
      </c>
      <c r="N210" s="4" t="inlineStr">
        <is>
          <t>Current</t>
        </is>
      </c>
      <c r="O210" s="4" t="n">
        <v>9</v>
      </c>
    </row>
    <row r="211">
      <c r="A211" s="4" t="inlineStr">
        <is>
          <t>L1209</t>
        </is>
      </c>
      <c r="B211" s="4" t="inlineStr">
        <is>
          <t>Metro Works</t>
        </is>
      </c>
      <c r="C211" s="4" t="inlineStr">
        <is>
          <t>Health</t>
        </is>
      </c>
      <c r="D211" s="4" t="inlineStr">
        <is>
          <t>2025-04-21</t>
        </is>
      </c>
      <c r="E211" s="8" t="n">
        <v>2000000</v>
      </c>
      <c r="F211" s="4" t="n">
        <v>24</v>
      </c>
      <c r="G211" s="8" t="n">
        <v>113333.33</v>
      </c>
      <c r="H211" s="8" t="n">
        <v>2719999.92</v>
      </c>
      <c r="I211" s="8" t="n">
        <v>1586666.62</v>
      </c>
      <c r="J211" s="8" t="n">
        <v>1246666.63</v>
      </c>
      <c r="K211" s="8" t="n">
        <v>-339999.99</v>
      </c>
      <c r="L211" s="8" t="n">
        <v>1473333.29</v>
      </c>
      <c r="M211" s="4" t="n">
        <v>41</v>
      </c>
      <c r="N211" s="4" t="inlineStr">
        <is>
          <t>31-90 dpd</t>
        </is>
      </c>
      <c r="O211" s="4" t="n">
        <v>14</v>
      </c>
    </row>
    <row r="212">
      <c r="A212" s="4" t="inlineStr">
        <is>
          <t>L1210</t>
        </is>
      </c>
      <c r="B212" s="4" t="inlineStr">
        <is>
          <t>Apex Traders</t>
        </is>
      </c>
      <c r="C212" s="4" t="inlineStr">
        <is>
          <t>Agriculture</t>
        </is>
      </c>
      <c r="D212" s="4" t="inlineStr">
        <is>
          <t>2026-04-01</t>
        </is>
      </c>
      <c r="E212" s="8" t="n">
        <v>250000</v>
      </c>
      <c r="F212" s="4" t="n">
        <v>18</v>
      </c>
      <c r="G212" s="8" t="n">
        <v>18472.22</v>
      </c>
      <c r="H212" s="8" t="n">
        <v>332499.96</v>
      </c>
      <c r="I212" s="8" t="n">
        <v>36944.44</v>
      </c>
      <c r="J212" s="8" t="n">
        <v>18472.22</v>
      </c>
      <c r="K212" s="8" t="n">
        <v>-18472.22</v>
      </c>
      <c r="L212" s="8" t="n">
        <v>314027.74</v>
      </c>
      <c r="M212" s="4" t="n">
        <v>0</v>
      </c>
      <c r="N212" s="4" t="inlineStr">
        <is>
          <t>Current</t>
        </is>
      </c>
      <c r="O212" s="4" t="n">
        <v>2</v>
      </c>
    </row>
    <row r="213">
      <c r="A213" s="4" t="inlineStr">
        <is>
          <t>L1211</t>
        </is>
      </c>
      <c r="B213" s="4" t="inlineStr">
        <is>
          <t>Metro Ventures</t>
        </is>
      </c>
      <c r="C213" s="4" t="inlineStr">
        <is>
          <t>Construction</t>
        </is>
      </c>
      <c r="D213" s="4" t="inlineStr">
        <is>
          <t>2026-04-03</t>
        </is>
      </c>
      <c r="E213" s="8" t="n">
        <v>2000000</v>
      </c>
      <c r="F213" s="4" t="n">
        <v>24</v>
      </c>
      <c r="G213" s="8" t="n">
        <v>126666.67</v>
      </c>
      <c r="H213" s="8" t="n">
        <v>3040000.08</v>
      </c>
      <c r="I213" s="8" t="n">
        <v>253333.34</v>
      </c>
      <c r="J213" s="8" t="n">
        <v>0</v>
      </c>
      <c r="K213" s="8" t="n">
        <v>-253333.34</v>
      </c>
      <c r="L213" s="8" t="n">
        <v>3040000.08</v>
      </c>
      <c r="M213" s="4" t="n">
        <v>29</v>
      </c>
      <c r="N213" s="4" t="inlineStr">
        <is>
          <t>1-30 dpd</t>
        </is>
      </c>
      <c r="O213" s="4" t="n">
        <v>2</v>
      </c>
    </row>
    <row r="214">
      <c r="A214" s="4" t="inlineStr">
        <is>
          <t>L1212</t>
        </is>
      </c>
      <c r="B214" s="4" t="inlineStr">
        <is>
          <t>Summit Enterprises</t>
        </is>
      </c>
      <c r="C214" s="4" t="inlineStr">
        <is>
          <t>Food &amp; Beverage</t>
        </is>
      </c>
      <c r="D214" s="4" t="inlineStr">
        <is>
          <t>2025-08-05</t>
        </is>
      </c>
      <c r="E214" s="8" t="n">
        <v>750000</v>
      </c>
      <c r="F214" s="4" t="n">
        <v>24</v>
      </c>
      <c r="G214" s="8" t="n">
        <v>45000</v>
      </c>
      <c r="H214" s="8" t="n">
        <v>1080000</v>
      </c>
      <c r="I214" s="8" t="n">
        <v>450000</v>
      </c>
      <c r="J214" s="8" t="n">
        <v>135000</v>
      </c>
      <c r="K214" s="8" t="n">
        <v>-315000</v>
      </c>
      <c r="L214" s="8" t="n">
        <v>945000</v>
      </c>
      <c r="M214" s="4" t="n">
        <v>178</v>
      </c>
      <c r="N214" s="4" t="inlineStr">
        <is>
          <t>90+ dpd</t>
        </is>
      </c>
      <c r="O214" s="4" t="n">
        <v>10</v>
      </c>
    </row>
    <row r="215">
      <c r="A215" s="4" t="inlineStr">
        <is>
          <t>L1213</t>
        </is>
      </c>
      <c r="B215" s="4" t="inlineStr">
        <is>
          <t>Summit Holdings</t>
        </is>
      </c>
      <c r="C215" s="4" t="inlineStr">
        <is>
          <t>Agriculture</t>
        </is>
      </c>
      <c r="D215" s="4" t="inlineStr">
        <is>
          <t>2026-04-24</t>
        </is>
      </c>
      <c r="E215" s="8" t="n">
        <v>3000000</v>
      </c>
      <c r="F215" s="4" t="n">
        <v>24</v>
      </c>
      <c r="G215" s="8" t="n">
        <v>170000</v>
      </c>
      <c r="H215" s="8" t="n">
        <v>4080000</v>
      </c>
      <c r="I215" s="8" t="n">
        <v>340000</v>
      </c>
      <c r="J215" s="8" t="n">
        <v>0</v>
      </c>
      <c r="K215" s="8" t="n">
        <v>-340000</v>
      </c>
      <c r="L215" s="8" t="n">
        <v>4080000</v>
      </c>
      <c r="M215" s="4" t="n">
        <v>8</v>
      </c>
      <c r="N215" s="4" t="inlineStr">
        <is>
          <t>1-30 dpd</t>
        </is>
      </c>
      <c r="O215" s="4" t="n">
        <v>2</v>
      </c>
    </row>
    <row r="216">
      <c r="A216" s="4" t="inlineStr">
        <is>
          <t>L1214</t>
        </is>
      </c>
      <c r="B216" s="4" t="inlineStr">
        <is>
          <t>Metro Holdings</t>
        </is>
      </c>
      <c r="C216" s="4" t="inlineStr">
        <is>
          <t>Health</t>
        </is>
      </c>
      <c r="D216" s="4" t="inlineStr">
        <is>
          <t>2026-03-20</t>
        </is>
      </c>
      <c r="E216" s="8" t="n">
        <v>1500000</v>
      </c>
      <c r="F216" s="4" t="n">
        <v>24</v>
      </c>
      <c r="G216" s="8" t="n">
        <v>95000</v>
      </c>
      <c r="H216" s="8" t="n">
        <v>2280000</v>
      </c>
      <c r="I216" s="8" t="n">
        <v>285000</v>
      </c>
      <c r="J216" s="8" t="n">
        <v>95000</v>
      </c>
      <c r="K216" s="8" t="n">
        <v>-190000</v>
      </c>
      <c r="L216" s="8" t="n">
        <v>2185000</v>
      </c>
      <c r="M216" s="4" t="n">
        <v>12</v>
      </c>
      <c r="N216" s="4" t="inlineStr">
        <is>
          <t>1-30 dpd</t>
        </is>
      </c>
      <c r="O216" s="4" t="n">
        <v>3</v>
      </c>
    </row>
    <row r="217">
      <c r="A217" s="4" t="inlineStr">
        <is>
          <t>L1215</t>
        </is>
      </c>
      <c r="B217" s="4" t="inlineStr">
        <is>
          <t>Crown Works</t>
        </is>
      </c>
      <c r="C217" s="4" t="inlineStr">
        <is>
          <t>Health</t>
        </is>
      </c>
      <c r="D217" s="4" t="inlineStr">
        <is>
          <t>2025-01-21</t>
        </is>
      </c>
      <c r="E217" s="8" t="n">
        <v>1500000</v>
      </c>
      <c r="F217" s="4" t="n">
        <v>18</v>
      </c>
      <c r="G217" s="8" t="n">
        <v>115833.33</v>
      </c>
      <c r="H217" s="8" t="n">
        <v>2084999.94</v>
      </c>
      <c r="I217" s="8" t="n">
        <v>1969166.61</v>
      </c>
      <c r="J217" s="8" t="n">
        <v>1621666.62</v>
      </c>
      <c r="K217" s="8" t="n">
        <v>-347499.99</v>
      </c>
      <c r="L217" s="8" t="n">
        <v>463333.32</v>
      </c>
      <c r="M217" s="4" t="n">
        <v>41</v>
      </c>
      <c r="N217" s="4" t="inlineStr">
        <is>
          <t>31-90 dpd</t>
        </is>
      </c>
      <c r="O217" s="4" t="n">
        <v>17</v>
      </c>
    </row>
    <row r="218">
      <c r="A218" s="4" t="inlineStr">
        <is>
          <t>L1216</t>
        </is>
      </c>
      <c r="B218" s="4" t="inlineStr">
        <is>
          <t>Lagoon Farms</t>
        </is>
      </c>
      <c r="C218" s="4" t="inlineStr">
        <is>
          <t>Technology</t>
        </is>
      </c>
      <c r="D218" s="4" t="inlineStr">
        <is>
          <t>2025-07-03</t>
        </is>
      </c>
      <c r="E218" s="8" t="n">
        <v>2000000</v>
      </c>
      <c r="F218" s="4" t="n">
        <v>24</v>
      </c>
      <c r="G218" s="8" t="n">
        <v>126666.67</v>
      </c>
      <c r="H218" s="8" t="n">
        <v>3040000.08</v>
      </c>
      <c r="I218" s="8" t="n">
        <v>1393333.37</v>
      </c>
      <c r="J218" s="8" t="n">
        <v>1266666.7</v>
      </c>
      <c r="K218" s="8" t="n">
        <v>-126666.67</v>
      </c>
      <c r="L218" s="8" t="n">
        <v>1773333.38</v>
      </c>
      <c r="M218" s="4" t="n">
        <v>0</v>
      </c>
      <c r="N218" s="4" t="inlineStr">
        <is>
          <t>Current</t>
        </is>
      </c>
      <c r="O218" s="4" t="n">
        <v>11</v>
      </c>
    </row>
    <row r="219">
      <c r="A219" s="4" t="inlineStr">
        <is>
          <t>L1217</t>
        </is>
      </c>
      <c r="B219" s="4" t="inlineStr">
        <is>
          <t>Crown Traders</t>
        </is>
      </c>
      <c r="C219" s="4" t="inlineStr">
        <is>
          <t>Retail</t>
        </is>
      </c>
      <c r="D219" s="4" t="inlineStr">
        <is>
          <t>2025-09-03</t>
        </is>
      </c>
      <c r="E219" s="8" t="n">
        <v>250000</v>
      </c>
      <c r="F219" s="4" t="n">
        <v>9</v>
      </c>
      <c r="G219" s="8" t="n">
        <v>32361.11</v>
      </c>
      <c r="H219" s="8" t="n">
        <v>291249.99</v>
      </c>
      <c r="I219" s="8" t="n">
        <v>291249.99</v>
      </c>
      <c r="J219" s="8" t="n">
        <v>194166.66</v>
      </c>
      <c r="K219" s="8" t="n">
        <v>-97083.33</v>
      </c>
      <c r="L219" s="8" t="n">
        <v>97083.33</v>
      </c>
      <c r="M219" s="4" t="n">
        <v>59</v>
      </c>
      <c r="N219" s="4" t="inlineStr">
        <is>
          <t>31-90 dpd</t>
        </is>
      </c>
      <c r="O219" s="4" t="n">
        <v>9</v>
      </c>
    </row>
    <row r="220">
      <c r="A220" s="4" t="inlineStr">
        <is>
          <t>L1218</t>
        </is>
      </c>
      <c r="B220" s="4" t="inlineStr">
        <is>
          <t>Crown Works</t>
        </is>
      </c>
      <c r="C220" s="4" t="inlineStr">
        <is>
          <t>Education</t>
        </is>
      </c>
      <c r="D220" s="4" t="inlineStr">
        <is>
          <t>2025-03-27</t>
        </is>
      </c>
      <c r="E220" s="8" t="n">
        <v>3000000</v>
      </c>
      <c r="F220" s="4" t="n">
        <v>9</v>
      </c>
      <c r="G220" s="8" t="n">
        <v>408333.33</v>
      </c>
      <c r="H220" s="8" t="n">
        <v>3674999.97</v>
      </c>
      <c r="I220" s="8" t="n">
        <v>3674999.97</v>
      </c>
      <c r="J220" s="8" t="n">
        <v>3266666.64</v>
      </c>
      <c r="K220" s="8" t="n">
        <v>-408333.33</v>
      </c>
      <c r="L220" s="8" t="n">
        <v>408333.33</v>
      </c>
      <c r="M220" s="4" t="n">
        <v>156</v>
      </c>
      <c r="N220" s="4" t="inlineStr">
        <is>
          <t>90+ dpd</t>
        </is>
      </c>
      <c r="O220" s="4" t="n">
        <v>15</v>
      </c>
    </row>
    <row r="221">
      <c r="A221" s="4" t="inlineStr">
        <is>
          <t>L1219</t>
        </is>
      </c>
      <c r="B221" s="4" t="inlineStr">
        <is>
          <t>Verde Supplies</t>
        </is>
      </c>
      <c r="C221" s="4" t="inlineStr">
        <is>
          <t>Health</t>
        </is>
      </c>
      <c r="D221" s="4" t="inlineStr">
        <is>
          <t>2025-11-11</t>
        </is>
      </c>
      <c r="E221" s="8" t="n">
        <v>1500000</v>
      </c>
      <c r="F221" s="4" t="n">
        <v>9</v>
      </c>
      <c r="G221" s="8" t="n">
        <v>194166.67</v>
      </c>
      <c r="H221" s="8" t="n">
        <v>1747500.03</v>
      </c>
      <c r="I221" s="8" t="n">
        <v>1359166.69</v>
      </c>
      <c r="J221" s="8" t="n">
        <v>776666.6800000001</v>
      </c>
      <c r="K221" s="8" t="n">
        <v>-582500.01</v>
      </c>
      <c r="L221" s="8" t="n">
        <v>970833.35</v>
      </c>
      <c r="M221" s="4" t="n">
        <v>51</v>
      </c>
      <c r="N221" s="4" t="inlineStr">
        <is>
          <t>31-90 dpd</t>
        </is>
      </c>
      <c r="O221" s="4" t="n">
        <v>7</v>
      </c>
    </row>
    <row r="222">
      <c r="A222" s="4" t="inlineStr">
        <is>
          <t>L1220</t>
        </is>
      </c>
      <c r="B222" s="4" t="inlineStr">
        <is>
          <t>Nova Supplies</t>
        </is>
      </c>
      <c r="C222" s="4" t="inlineStr">
        <is>
          <t>Agriculture</t>
        </is>
      </c>
      <c r="D222" s="4" t="inlineStr">
        <is>
          <t>2025-06-12</t>
        </is>
      </c>
      <c r="E222" s="8" t="n">
        <v>250000</v>
      </c>
      <c r="F222" s="4" t="n">
        <v>18</v>
      </c>
      <c r="G222" s="8" t="n">
        <v>19305.56</v>
      </c>
      <c r="H222" s="8" t="n">
        <v>347500.08</v>
      </c>
      <c r="I222" s="8" t="n">
        <v>231666.72</v>
      </c>
      <c r="J222" s="8" t="n">
        <v>212361.16</v>
      </c>
      <c r="K222" s="8" t="n">
        <v>-19305.56</v>
      </c>
      <c r="L222" s="8" t="n">
        <v>135138.92</v>
      </c>
      <c r="M222" s="4" t="n">
        <v>0</v>
      </c>
      <c r="N222" s="4" t="inlineStr">
        <is>
          <t>Current</t>
        </is>
      </c>
      <c r="O222" s="4" t="n">
        <v>12</v>
      </c>
    </row>
    <row r="223">
      <c r="A223" s="4" t="inlineStr">
        <is>
          <t>L1221</t>
        </is>
      </c>
      <c r="B223" s="4" t="inlineStr">
        <is>
          <t>Metro Services</t>
        </is>
      </c>
      <c r="C223" s="4" t="inlineStr">
        <is>
          <t>Food &amp; Beverage</t>
        </is>
      </c>
      <c r="D223" s="4" t="inlineStr">
        <is>
          <t>2025-01-06</t>
        </is>
      </c>
      <c r="E223" s="8" t="n">
        <v>750000</v>
      </c>
      <c r="F223" s="4" t="n">
        <v>9</v>
      </c>
      <c r="G223" s="8" t="n">
        <v>97083.33</v>
      </c>
      <c r="H223" s="8" t="n">
        <v>873749.97</v>
      </c>
      <c r="I223" s="8" t="n">
        <v>873749.97</v>
      </c>
      <c r="J223" s="8" t="n">
        <v>873749.97</v>
      </c>
      <c r="K223" s="8" t="n">
        <v>0</v>
      </c>
      <c r="L223" s="8" t="n">
        <v>0</v>
      </c>
      <c r="M223" s="4" t="n">
        <v>0</v>
      </c>
      <c r="N223" s="4" t="inlineStr">
        <is>
          <t>Current</t>
        </is>
      </c>
      <c r="O223" s="4" t="n">
        <v>17</v>
      </c>
    </row>
    <row r="224">
      <c r="A224" s="4" t="inlineStr">
        <is>
          <t>L1222</t>
        </is>
      </c>
      <c r="B224" s="4" t="inlineStr">
        <is>
          <t>Coastal Stores</t>
        </is>
      </c>
      <c r="C224" s="4" t="inlineStr">
        <is>
          <t>Manufacturing</t>
        </is>
      </c>
      <c r="D224" s="4" t="inlineStr">
        <is>
          <t>2025-05-05</t>
        </is>
      </c>
      <c r="E224" s="8" t="n">
        <v>750000</v>
      </c>
      <c r="F224" s="4" t="n">
        <v>18</v>
      </c>
      <c r="G224" s="8" t="n">
        <v>52916.67</v>
      </c>
      <c r="H224" s="8" t="n">
        <v>952500.0600000001</v>
      </c>
      <c r="I224" s="8" t="n">
        <v>687916.71</v>
      </c>
      <c r="J224" s="8" t="n">
        <v>211666.68</v>
      </c>
      <c r="K224" s="8" t="n">
        <v>-476250.03</v>
      </c>
      <c r="L224" s="8" t="n">
        <v>740833.38</v>
      </c>
      <c r="M224" s="4" t="n">
        <v>239</v>
      </c>
      <c r="N224" s="4" t="inlineStr">
        <is>
          <t>90+ dpd</t>
        </is>
      </c>
      <c r="O224" s="4" t="n">
        <v>13</v>
      </c>
    </row>
    <row r="225">
      <c r="A225" s="4" t="inlineStr">
        <is>
          <t>L1223</t>
        </is>
      </c>
      <c r="B225" s="4" t="inlineStr">
        <is>
          <t>Crown Group</t>
        </is>
      </c>
      <c r="C225" s="4" t="inlineStr">
        <is>
          <t>Education</t>
        </is>
      </c>
      <c r="D225" s="4" t="inlineStr">
        <is>
          <t>2026-01-07</t>
        </is>
      </c>
      <c r="E225" s="8" t="n">
        <v>500000</v>
      </c>
      <c r="F225" s="4" t="n">
        <v>6</v>
      </c>
      <c r="G225" s="8" t="n">
        <v>92500</v>
      </c>
      <c r="H225" s="8" t="n">
        <v>555000</v>
      </c>
      <c r="I225" s="8" t="n">
        <v>462500</v>
      </c>
      <c r="J225" s="8" t="n">
        <v>416250</v>
      </c>
      <c r="K225" s="8" t="n">
        <v>-46250</v>
      </c>
      <c r="L225" s="8" t="n">
        <v>138750</v>
      </c>
      <c r="M225" s="4" t="n">
        <v>0</v>
      </c>
      <c r="N225" s="4" t="inlineStr">
        <is>
          <t>Current</t>
        </is>
      </c>
      <c r="O225" s="4" t="n">
        <v>5</v>
      </c>
    </row>
    <row r="226">
      <c r="A226" s="4" t="inlineStr">
        <is>
          <t>L1224</t>
        </is>
      </c>
      <c r="B226" s="4" t="inlineStr">
        <is>
          <t>Summit Traders</t>
        </is>
      </c>
      <c r="C226" s="4" t="inlineStr">
        <is>
          <t>Health</t>
        </is>
      </c>
      <c r="D226" s="4" t="inlineStr">
        <is>
          <t>2025-06-08</t>
        </is>
      </c>
      <c r="E226" s="8" t="n">
        <v>1000000</v>
      </c>
      <c r="F226" s="4" t="n">
        <v>9</v>
      </c>
      <c r="G226" s="8" t="n">
        <v>136111.11</v>
      </c>
      <c r="H226" s="8" t="n">
        <v>1224999.99</v>
      </c>
      <c r="I226" s="8" t="n">
        <v>1224999.99</v>
      </c>
      <c r="J226" s="8" t="n">
        <v>1224999.99</v>
      </c>
      <c r="K226" s="8" t="n">
        <v>0</v>
      </c>
      <c r="L226" s="8" t="n">
        <v>0</v>
      </c>
      <c r="M226" s="4" t="n">
        <v>0</v>
      </c>
      <c r="N226" s="4" t="inlineStr">
        <is>
          <t>Current</t>
        </is>
      </c>
      <c r="O226" s="4" t="n">
        <v>12</v>
      </c>
    </row>
    <row r="227">
      <c r="A227" s="4" t="inlineStr">
        <is>
          <t>L1225</t>
        </is>
      </c>
      <c r="B227" s="4" t="inlineStr">
        <is>
          <t>Bright Stores</t>
        </is>
      </c>
      <c r="C227" s="4" t="inlineStr">
        <is>
          <t>Agriculture</t>
        </is>
      </c>
      <c r="D227" s="4" t="inlineStr">
        <is>
          <t>2025-01-13</t>
        </is>
      </c>
      <c r="E227" s="8" t="n">
        <v>1000000</v>
      </c>
      <c r="F227" s="4" t="n">
        <v>9</v>
      </c>
      <c r="G227" s="8" t="n">
        <v>126111.11</v>
      </c>
      <c r="H227" s="8" t="n">
        <v>1134999.99</v>
      </c>
      <c r="I227" s="8" t="n">
        <v>1134999.99</v>
      </c>
      <c r="J227" s="8" t="n">
        <v>756666.66</v>
      </c>
      <c r="K227" s="8" t="n">
        <v>-378333.33</v>
      </c>
      <c r="L227" s="8" t="n">
        <v>378333.33</v>
      </c>
      <c r="M227" s="4" t="n">
        <v>292</v>
      </c>
      <c r="N227" s="4" t="inlineStr">
        <is>
          <t>90+ dpd</t>
        </is>
      </c>
      <c r="O227" s="4" t="n">
        <v>17</v>
      </c>
    </row>
    <row r="228">
      <c r="A228" s="4" t="inlineStr">
        <is>
          <t>L1226</t>
        </is>
      </c>
      <c r="B228" s="4" t="inlineStr">
        <is>
          <t>Unity Farms</t>
        </is>
      </c>
      <c r="C228" s="4" t="inlineStr">
        <is>
          <t>Food &amp; Beverage</t>
        </is>
      </c>
      <c r="D228" s="4" t="inlineStr">
        <is>
          <t>2025-01-26</t>
        </is>
      </c>
      <c r="E228" s="8" t="n">
        <v>500000</v>
      </c>
      <c r="F228" s="4" t="n">
        <v>18</v>
      </c>
      <c r="G228" s="8" t="n">
        <v>38611.11</v>
      </c>
      <c r="H228" s="8" t="n">
        <v>694999.98</v>
      </c>
      <c r="I228" s="8" t="n">
        <v>656388.87</v>
      </c>
      <c r="J228" s="8" t="n">
        <v>517388.87</v>
      </c>
      <c r="K228" s="8" t="n">
        <v>-139000</v>
      </c>
      <c r="L228" s="8" t="n">
        <v>177611.11</v>
      </c>
      <c r="M228" s="4" t="n">
        <v>67</v>
      </c>
      <c r="N228" s="4" t="inlineStr">
        <is>
          <t>31-90 dpd</t>
        </is>
      </c>
      <c r="O228" s="4" t="n">
        <v>17</v>
      </c>
    </row>
    <row r="229">
      <c r="A229" s="4" t="inlineStr">
        <is>
          <t>L1227</t>
        </is>
      </c>
      <c r="B229" s="4" t="inlineStr">
        <is>
          <t>Crown Logistics</t>
        </is>
      </c>
      <c r="C229" s="4" t="inlineStr">
        <is>
          <t>Education</t>
        </is>
      </c>
      <c r="D229" s="4" t="inlineStr">
        <is>
          <t>2025-04-07</t>
        </is>
      </c>
      <c r="E229" s="8" t="n">
        <v>250000</v>
      </c>
      <c r="F229" s="4" t="n">
        <v>9</v>
      </c>
      <c r="G229" s="8" t="n">
        <v>32361.11</v>
      </c>
      <c r="H229" s="8" t="n">
        <v>291249.99</v>
      </c>
      <c r="I229" s="8" t="n">
        <v>291249.99</v>
      </c>
      <c r="J229" s="8" t="n">
        <v>291249.99</v>
      </c>
      <c r="K229" s="8" t="n">
        <v>0</v>
      </c>
      <c r="L229" s="8" t="n">
        <v>0</v>
      </c>
      <c r="M229" s="4" t="n">
        <v>0</v>
      </c>
      <c r="N229" s="4" t="inlineStr">
        <is>
          <t>Current</t>
        </is>
      </c>
      <c r="O229" s="4" t="n">
        <v>14</v>
      </c>
    </row>
    <row r="230">
      <c r="A230" s="4" t="inlineStr">
        <is>
          <t>L1228</t>
        </is>
      </c>
      <c r="B230" s="4" t="inlineStr">
        <is>
          <t>Nova Holdings</t>
        </is>
      </c>
      <c r="C230" s="4" t="inlineStr">
        <is>
          <t>Manufacturing</t>
        </is>
      </c>
      <c r="D230" s="4" t="inlineStr">
        <is>
          <t>2026-01-25</t>
        </is>
      </c>
      <c r="E230" s="8" t="n">
        <v>250000</v>
      </c>
      <c r="F230" s="4" t="n">
        <v>24</v>
      </c>
      <c r="G230" s="8" t="n">
        <v>15833.33</v>
      </c>
      <c r="H230" s="8" t="n">
        <v>379999.92</v>
      </c>
      <c r="I230" s="8" t="n">
        <v>79166.64999999999</v>
      </c>
      <c r="J230" s="8" t="n">
        <v>63333.32</v>
      </c>
      <c r="K230" s="8" t="n">
        <v>-15833.33</v>
      </c>
      <c r="L230" s="8" t="n">
        <v>316666.6</v>
      </c>
      <c r="M230" s="4" t="n">
        <v>0</v>
      </c>
      <c r="N230" s="4" t="inlineStr">
        <is>
          <t>Current</t>
        </is>
      </c>
      <c r="O230" s="4" t="n">
        <v>5</v>
      </c>
    </row>
    <row r="231">
      <c r="A231" s="4" t="inlineStr">
        <is>
          <t>L1229</t>
        </is>
      </c>
      <c r="B231" s="4" t="inlineStr">
        <is>
          <t>Coastal Foods</t>
        </is>
      </c>
      <c r="C231" s="4" t="inlineStr">
        <is>
          <t>Health</t>
        </is>
      </c>
      <c r="D231" s="4" t="inlineStr">
        <is>
          <t>2025-10-02</t>
        </is>
      </c>
      <c r="E231" s="8" t="n">
        <v>750000</v>
      </c>
      <c r="F231" s="4" t="n">
        <v>6</v>
      </c>
      <c r="G231" s="8" t="n">
        <v>143750</v>
      </c>
      <c r="H231" s="8" t="n">
        <v>862500</v>
      </c>
      <c r="I231" s="8" t="n">
        <v>862500</v>
      </c>
      <c r="J231" s="8" t="n">
        <v>862500</v>
      </c>
      <c r="K231" s="8" t="n">
        <v>0</v>
      </c>
      <c r="L231" s="8" t="n">
        <v>0</v>
      </c>
      <c r="M231" s="4" t="n">
        <v>0</v>
      </c>
      <c r="N231" s="4" t="inlineStr">
        <is>
          <t>Current</t>
        </is>
      </c>
      <c r="O231" s="4" t="n">
        <v>8</v>
      </c>
    </row>
    <row r="232">
      <c r="A232" s="4" t="inlineStr">
        <is>
          <t>L1230</t>
        </is>
      </c>
      <c r="B232" s="4" t="inlineStr">
        <is>
          <t>Verde Holdings</t>
        </is>
      </c>
      <c r="C232" s="4" t="inlineStr">
        <is>
          <t>Health</t>
        </is>
      </c>
      <c r="D232" s="4" t="inlineStr">
        <is>
          <t>2025-07-03</t>
        </is>
      </c>
      <c r="E232" s="8" t="n">
        <v>2000000</v>
      </c>
      <c r="F232" s="4" t="n">
        <v>24</v>
      </c>
      <c r="G232" s="8" t="n">
        <v>126666.67</v>
      </c>
      <c r="H232" s="8" t="n">
        <v>3040000.08</v>
      </c>
      <c r="I232" s="8" t="n">
        <v>1393333.37</v>
      </c>
      <c r="J232" s="8" t="n">
        <v>1266666.7</v>
      </c>
      <c r="K232" s="8" t="n">
        <v>-126666.67</v>
      </c>
      <c r="L232" s="8" t="n">
        <v>1773333.38</v>
      </c>
      <c r="M232" s="4" t="n">
        <v>0</v>
      </c>
      <c r="N232" s="4" t="inlineStr">
        <is>
          <t>Current</t>
        </is>
      </c>
      <c r="O232" s="4" t="n">
        <v>11</v>
      </c>
    </row>
    <row r="233">
      <c r="A233" s="4" t="inlineStr">
        <is>
          <t>L1231</t>
        </is>
      </c>
      <c r="B233" s="4" t="inlineStr">
        <is>
          <t>Summit Ventures</t>
        </is>
      </c>
      <c r="C233" s="4" t="inlineStr">
        <is>
          <t>Education</t>
        </is>
      </c>
      <c r="D233" s="4" t="inlineStr">
        <is>
          <t>2025-09-05</t>
        </is>
      </c>
      <c r="E233" s="8" t="n">
        <v>250000</v>
      </c>
      <c r="F233" s="4" t="n">
        <v>9</v>
      </c>
      <c r="G233" s="8" t="n">
        <v>32361.11</v>
      </c>
      <c r="H233" s="8" t="n">
        <v>291249.99</v>
      </c>
      <c r="I233" s="8" t="n">
        <v>291249.99</v>
      </c>
      <c r="J233" s="8" t="n">
        <v>258888.88</v>
      </c>
      <c r="K233" s="8" t="n">
        <v>-32361.11</v>
      </c>
      <c r="L233" s="8" t="n">
        <v>32361.11</v>
      </c>
      <c r="M233" s="4" t="n">
        <v>0</v>
      </c>
      <c r="N233" s="4" t="inlineStr">
        <is>
          <t>Current</t>
        </is>
      </c>
      <c r="O233" s="4" t="n">
        <v>9</v>
      </c>
    </row>
    <row r="234">
      <c r="A234" s="4" t="inlineStr">
        <is>
          <t>L1232</t>
        </is>
      </c>
      <c r="B234" s="4" t="inlineStr">
        <is>
          <t>Coastal Farms</t>
        </is>
      </c>
      <c r="C234" s="4" t="inlineStr">
        <is>
          <t>Fashion</t>
        </is>
      </c>
      <c r="D234" s="4" t="inlineStr">
        <is>
          <t>2025-06-16</t>
        </is>
      </c>
      <c r="E234" s="8" t="n">
        <v>1000000</v>
      </c>
      <c r="F234" s="4" t="n">
        <v>18</v>
      </c>
      <c r="G234" s="8" t="n">
        <v>77222.22</v>
      </c>
      <c r="H234" s="8" t="n">
        <v>1389999.96</v>
      </c>
      <c r="I234" s="8" t="n">
        <v>926666.64</v>
      </c>
      <c r="J234" s="8" t="n">
        <v>849444.42</v>
      </c>
      <c r="K234" s="8" t="n">
        <v>-77222.22</v>
      </c>
      <c r="L234" s="8" t="n">
        <v>540555.54</v>
      </c>
      <c r="M234" s="4" t="n">
        <v>0</v>
      </c>
      <c r="N234" s="4" t="inlineStr">
        <is>
          <t>Current</t>
        </is>
      </c>
      <c r="O234" s="4" t="n">
        <v>12</v>
      </c>
    </row>
    <row r="235">
      <c r="A235" s="4" t="inlineStr">
        <is>
          <t>L1233</t>
        </is>
      </c>
      <c r="B235" s="4" t="inlineStr">
        <is>
          <t>Crown Stores</t>
        </is>
      </c>
      <c r="C235" s="4" t="inlineStr">
        <is>
          <t>Logistics</t>
        </is>
      </c>
      <c r="D235" s="4" t="inlineStr">
        <is>
          <t>2026-03-11</t>
        </is>
      </c>
      <c r="E235" s="8" t="n">
        <v>250000</v>
      </c>
      <c r="F235" s="4" t="n">
        <v>18</v>
      </c>
      <c r="G235" s="8" t="n">
        <v>17638.89</v>
      </c>
      <c r="H235" s="8" t="n">
        <v>317500.02</v>
      </c>
      <c r="I235" s="8" t="n">
        <v>52916.67</v>
      </c>
      <c r="J235" s="8" t="n">
        <v>0</v>
      </c>
      <c r="K235" s="8" t="n">
        <v>-52916.67</v>
      </c>
      <c r="L235" s="8" t="n">
        <v>317500.02</v>
      </c>
      <c r="M235" s="4" t="n">
        <v>51</v>
      </c>
      <c r="N235" s="4" t="inlineStr">
        <is>
          <t>31-90 dpd</t>
        </is>
      </c>
      <c r="O235" s="4" t="n">
        <v>3</v>
      </c>
    </row>
    <row r="236">
      <c r="A236" s="4" t="inlineStr">
        <is>
          <t>L1234</t>
        </is>
      </c>
      <c r="B236" s="4" t="inlineStr">
        <is>
          <t>Lagoon Enterprises</t>
        </is>
      </c>
      <c r="C236" s="4" t="inlineStr">
        <is>
          <t>Food &amp; Beverage</t>
        </is>
      </c>
      <c r="D236" s="4" t="inlineStr">
        <is>
          <t>2025-10-26</t>
        </is>
      </c>
      <c r="E236" s="8" t="n">
        <v>750000</v>
      </c>
      <c r="F236" s="4" t="n">
        <v>6</v>
      </c>
      <c r="G236" s="8" t="n">
        <v>136250</v>
      </c>
      <c r="H236" s="8" t="n">
        <v>817500</v>
      </c>
      <c r="I236" s="8" t="n">
        <v>817500</v>
      </c>
      <c r="J236" s="8" t="n">
        <v>885625</v>
      </c>
      <c r="K236" s="8" t="n">
        <v>68125</v>
      </c>
      <c r="L236" s="8" t="n">
        <v>0</v>
      </c>
      <c r="M236" s="4" t="n">
        <v>0</v>
      </c>
      <c r="N236" s="4" t="inlineStr">
        <is>
          <t>Current</t>
        </is>
      </c>
      <c r="O236" s="4" t="n">
        <v>8</v>
      </c>
    </row>
    <row r="237">
      <c r="A237" s="4" t="inlineStr">
        <is>
          <t>L1235</t>
        </is>
      </c>
      <c r="B237" s="4" t="inlineStr">
        <is>
          <t>Summit Group</t>
        </is>
      </c>
      <c r="C237" s="4" t="inlineStr">
        <is>
          <t>Agriculture</t>
        </is>
      </c>
      <c r="D237" s="4" t="inlineStr">
        <is>
          <t>2025-06-08</t>
        </is>
      </c>
      <c r="E237" s="8" t="n">
        <v>500000</v>
      </c>
      <c r="F237" s="4" t="n">
        <v>24</v>
      </c>
      <c r="G237" s="8" t="n">
        <v>31666.67</v>
      </c>
      <c r="H237" s="8" t="n">
        <v>760000.08</v>
      </c>
      <c r="I237" s="8" t="n">
        <v>380000.04</v>
      </c>
      <c r="J237" s="8" t="n">
        <v>348333.37</v>
      </c>
      <c r="K237" s="8" t="n">
        <v>-31666.67</v>
      </c>
      <c r="L237" s="8" t="n">
        <v>411666.71</v>
      </c>
      <c r="M237" s="4" t="n">
        <v>0</v>
      </c>
      <c r="N237" s="4" t="inlineStr">
        <is>
          <t>Current</t>
        </is>
      </c>
      <c r="O237" s="4" t="n">
        <v>12</v>
      </c>
    </row>
    <row r="238">
      <c r="A238" s="4" t="inlineStr">
        <is>
          <t>L1236</t>
        </is>
      </c>
      <c r="B238" s="4" t="inlineStr">
        <is>
          <t>Pioneer Ventures</t>
        </is>
      </c>
      <c r="C238" s="4" t="inlineStr">
        <is>
          <t>Education</t>
        </is>
      </c>
      <c r="D238" s="4" t="inlineStr">
        <is>
          <t>2025-01-13</t>
        </is>
      </c>
      <c r="E238" s="8" t="n">
        <v>500000</v>
      </c>
      <c r="F238" s="4" t="n">
        <v>9</v>
      </c>
      <c r="G238" s="8" t="n">
        <v>68055.56</v>
      </c>
      <c r="H238" s="8" t="n">
        <v>612500.04</v>
      </c>
      <c r="I238" s="8" t="n">
        <v>612500.04</v>
      </c>
      <c r="J238" s="8" t="n">
        <v>612500.04</v>
      </c>
      <c r="K238" s="8" t="n">
        <v>0</v>
      </c>
      <c r="L238" s="8" t="n">
        <v>0</v>
      </c>
      <c r="M238" s="4" t="n">
        <v>0</v>
      </c>
      <c r="N238" s="4" t="inlineStr">
        <is>
          <t>Current</t>
        </is>
      </c>
      <c r="O238" s="4" t="n">
        <v>17</v>
      </c>
    </row>
    <row r="239">
      <c r="A239" s="4" t="inlineStr">
        <is>
          <t>L1237</t>
        </is>
      </c>
      <c r="B239" s="4" t="inlineStr">
        <is>
          <t>Apex Enterprises</t>
        </is>
      </c>
      <c r="C239" s="4" t="inlineStr">
        <is>
          <t>Logistics</t>
        </is>
      </c>
      <c r="D239" s="4" t="inlineStr">
        <is>
          <t>2025-10-24</t>
        </is>
      </c>
      <c r="E239" s="8" t="n">
        <v>2000000</v>
      </c>
      <c r="F239" s="4" t="n">
        <v>9</v>
      </c>
      <c r="G239" s="8" t="n">
        <v>265555.56</v>
      </c>
      <c r="H239" s="8" t="n">
        <v>2390000.04</v>
      </c>
      <c r="I239" s="8" t="n">
        <v>2124444.48</v>
      </c>
      <c r="J239" s="8" t="n">
        <v>1327777.8</v>
      </c>
      <c r="K239" s="8" t="n">
        <v>-796666.6800000001</v>
      </c>
      <c r="L239" s="8" t="n">
        <v>1062222.24</v>
      </c>
      <c r="M239" s="4" t="n">
        <v>38</v>
      </c>
      <c r="N239" s="4" t="inlineStr">
        <is>
          <t>31-90 dpd</t>
        </is>
      </c>
      <c r="O239" s="4" t="n">
        <v>8</v>
      </c>
    </row>
    <row r="240">
      <c r="A240" s="4" t="inlineStr">
        <is>
          <t>L1238</t>
        </is>
      </c>
      <c r="B240" s="4" t="inlineStr">
        <is>
          <t>Nova Stores</t>
        </is>
      </c>
      <c r="C240" s="4" t="inlineStr">
        <is>
          <t>Education</t>
        </is>
      </c>
      <c r="D240" s="4" t="inlineStr">
        <is>
          <t>2025-05-07</t>
        </is>
      </c>
      <c r="E240" s="8" t="n">
        <v>750000</v>
      </c>
      <c r="F240" s="4" t="n">
        <v>6</v>
      </c>
      <c r="G240" s="8" t="n">
        <v>136250</v>
      </c>
      <c r="H240" s="8" t="n">
        <v>817500</v>
      </c>
      <c r="I240" s="8" t="n">
        <v>817500</v>
      </c>
      <c r="J240" s="8" t="n">
        <v>681250</v>
      </c>
      <c r="K240" s="8" t="n">
        <v>-136250</v>
      </c>
      <c r="L240" s="8" t="n">
        <v>136250</v>
      </c>
      <c r="M240" s="4" t="n">
        <v>206</v>
      </c>
      <c r="N240" s="4" t="inlineStr">
        <is>
          <t>90+ dpd</t>
        </is>
      </c>
      <c r="O240" s="4" t="n">
        <v>13</v>
      </c>
    </row>
    <row r="241">
      <c r="A241" s="4" t="inlineStr">
        <is>
          <t>L1239</t>
        </is>
      </c>
      <c r="B241" s="4" t="inlineStr">
        <is>
          <t>Unity Traders</t>
        </is>
      </c>
      <c r="C241" s="4" t="inlineStr">
        <is>
          <t>Health</t>
        </is>
      </c>
      <c r="D241" s="4" t="inlineStr">
        <is>
          <t>2024-12-21</t>
        </is>
      </c>
      <c r="E241" s="8" t="n">
        <v>750000</v>
      </c>
      <c r="F241" s="4" t="n">
        <v>12</v>
      </c>
      <c r="G241" s="8" t="n">
        <v>76250</v>
      </c>
      <c r="H241" s="8" t="n">
        <v>915000</v>
      </c>
      <c r="I241" s="8" t="n">
        <v>915000</v>
      </c>
      <c r="J241" s="8" t="n">
        <v>915000</v>
      </c>
      <c r="K241" s="8" t="n">
        <v>0</v>
      </c>
      <c r="L241" s="8" t="n">
        <v>0</v>
      </c>
      <c r="M241" s="4" t="n">
        <v>0</v>
      </c>
      <c r="N241" s="4" t="inlineStr">
        <is>
          <t>Current</t>
        </is>
      </c>
      <c r="O241" s="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0" customWidth="1" min="4" max="4"/>
    <col width="16" customWidth="1" min="5" max="5"/>
    <col width="10" customWidth="1" min="6" max="6"/>
  </cols>
  <sheetData>
    <row r="1">
      <c r="A1" s="1" t="inlineStr">
        <is>
          <t>Reconciliation Exceptions</t>
        </is>
      </c>
    </row>
    <row r="2">
      <c r="A2" s="2" t="inlineStr">
        <is>
          <t>Every record that failed reconciliation, typed and sized.</t>
        </is>
      </c>
    </row>
    <row r="3">
      <c r="A3" s="3" t="inlineStr">
        <is>
          <t>Summary by type</t>
        </is>
      </c>
    </row>
    <row r="4">
      <c r="A4" s="6" t="inlineStr">
        <is>
          <t>issue_type</t>
        </is>
      </c>
      <c r="B4" s="6" t="inlineStr">
        <is>
          <t>count</t>
        </is>
      </c>
      <c r="C4" s="6" t="inlineStr">
        <is>
          <t>total_amount_impact</t>
        </is>
      </c>
    </row>
    <row r="5">
      <c r="A5" s="4" t="inlineStr">
        <is>
          <t>Duplicate payment</t>
        </is>
      </c>
      <c r="B5" s="4" t="n">
        <v>9</v>
      </c>
      <c r="C5" s="8" t="n">
        <v>1030000.01</v>
      </c>
    </row>
    <row r="6">
      <c r="A6" s="4" t="inlineStr">
        <is>
          <t>Overpayment</t>
        </is>
      </c>
      <c r="B6" s="4" t="n">
        <v>5</v>
      </c>
      <c r="C6" s="8" t="n">
        <v>214513.89</v>
      </c>
    </row>
    <row r="7">
      <c r="A7" s="4" t="inlineStr">
        <is>
          <t>Underpayment</t>
        </is>
      </c>
      <c r="B7" s="4" t="n">
        <v>5</v>
      </c>
      <c r="C7" s="8" t="n">
        <v>-344666.67</v>
      </c>
    </row>
    <row r="8">
      <c r="A8" s="4" t="inlineStr">
        <is>
          <t>Orphan transaction</t>
        </is>
      </c>
      <c r="B8" s="4" t="n">
        <v>3</v>
      </c>
      <c r="C8" s="8" t="n">
        <v>275000</v>
      </c>
    </row>
    <row r="10">
      <c r="A10" s="3" t="inlineStr">
        <is>
          <t>Full exception list</t>
        </is>
      </c>
    </row>
    <row r="11">
      <c r="A11" s="6" t="inlineStr">
        <is>
          <t>loan_id</t>
        </is>
      </c>
      <c r="B11" s="6" t="inlineStr">
        <is>
          <t>txn_id</t>
        </is>
      </c>
      <c r="C11" s="6" t="inlineStr">
        <is>
          <t>issue_type</t>
        </is>
      </c>
      <c r="D11" s="6" t="inlineStr">
        <is>
          <t>detail</t>
        </is>
      </c>
      <c r="E11" s="6" t="inlineStr">
        <is>
          <t>amount_impact</t>
        </is>
      </c>
      <c r="F11" s="6" t="inlineStr">
        <is>
          <t>severity</t>
        </is>
      </c>
    </row>
    <row r="12">
      <c r="A12" s="4" t="inlineStr">
        <is>
          <t>L9003</t>
        </is>
      </c>
      <c r="B12" s="4" t="inlineStr">
        <is>
          <t>T98002</t>
        </is>
      </c>
      <c r="C12" s="4" t="inlineStr">
        <is>
          <t>Orphan transaction</t>
        </is>
      </c>
      <c r="D12" s="4" t="inlineStr">
        <is>
          <t>Payment references a loan not in the loan book</t>
        </is>
      </c>
      <c r="E12" s="8" t="n">
        <v>60000</v>
      </c>
      <c r="F12" s="4" t="inlineStr">
        <is>
          <t>High</t>
        </is>
      </c>
    </row>
    <row r="13">
      <c r="A13" s="4" t="inlineStr">
        <is>
          <t>L9002</t>
        </is>
      </c>
      <c r="B13" s="4" t="inlineStr">
        <is>
          <t>T98001</t>
        </is>
      </c>
      <c r="C13" s="4" t="inlineStr">
        <is>
          <t>Orphan transaction</t>
        </is>
      </c>
      <c r="D13" s="4" t="inlineStr">
        <is>
          <t>Payment references a loan not in the loan book</t>
        </is>
      </c>
      <c r="E13" s="8" t="n">
        <v>95000</v>
      </c>
      <c r="F13" s="4" t="inlineStr">
        <is>
          <t>High</t>
        </is>
      </c>
    </row>
    <row r="14">
      <c r="A14" s="4" t="inlineStr">
        <is>
          <t>L9001</t>
        </is>
      </c>
      <c r="B14" s="4" t="inlineStr">
        <is>
          <t>T98000</t>
        </is>
      </c>
      <c r="C14" s="4" t="inlineStr">
        <is>
          <t>Orphan transaction</t>
        </is>
      </c>
      <c r="D14" s="4" t="inlineStr">
        <is>
          <t>Payment references a loan not in the loan book</t>
        </is>
      </c>
      <c r="E14" s="8" t="n">
        <v>120000</v>
      </c>
      <c r="F14" s="4" t="inlineStr">
        <is>
          <t>High</t>
        </is>
      </c>
    </row>
    <row r="15">
      <c r="A15" s="4" t="inlineStr">
        <is>
          <t>L1124</t>
        </is>
      </c>
      <c r="B15" s="4" t="inlineStr">
        <is>
          <t>T90757</t>
        </is>
      </c>
      <c r="C15" s="4" t="inlineStr">
        <is>
          <t>Duplicate payment</t>
        </is>
      </c>
      <c r="D15" s="4" t="inlineStr">
        <is>
          <t>Identical payment already recorded on the same date</t>
        </is>
      </c>
      <c r="E15" s="8" t="n">
        <v>77222.22</v>
      </c>
      <c r="F15" s="4" t="inlineStr">
        <is>
          <t>Medium</t>
        </is>
      </c>
    </row>
    <row r="16">
      <c r="A16" s="4" t="inlineStr">
        <is>
          <t>L1123</t>
        </is>
      </c>
      <c r="B16" s="4" t="inlineStr">
        <is>
          <t>T90745</t>
        </is>
      </c>
      <c r="C16" s="4" t="inlineStr">
        <is>
          <t>Duplicate payment</t>
        </is>
      </c>
      <c r="D16" s="4" t="inlineStr">
        <is>
          <t>Identical payment already recorded on the same date</t>
        </is>
      </c>
      <c r="E16" s="8" t="n">
        <v>189166.67</v>
      </c>
      <c r="F16" s="4" t="inlineStr">
        <is>
          <t>Medium</t>
        </is>
      </c>
    </row>
    <row r="17">
      <c r="A17" s="4" t="inlineStr">
        <is>
          <t>L1038</t>
        </is>
      </c>
      <c r="B17" s="4" t="inlineStr">
        <is>
          <t>T90226</t>
        </is>
      </c>
      <c r="C17" s="4" t="inlineStr">
        <is>
          <t>Duplicate payment</t>
        </is>
      </c>
      <c r="D17" s="4" t="inlineStr">
        <is>
          <t>Identical payment already recorded on the same date</t>
        </is>
      </c>
      <c r="E17" s="8" t="n">
        <v>76250</v>
      </c>
      <c r="F17" s="4" t="inlineStr">
        <is>
          <t>Medium</t>
        </is>
      </c>
    </row>
    <row r="18">
      <c r="A18" s="4" t="inlineStr">
        <is>
          <t>L1046</t>
        </is>
      </c>
      <c r="B18" s="4" t="inlineStr">
        <is>
          <t>T95004</t>
        </is>
      </c>
      <c r="C18" s="4" t="inlineStr">
        <is>
          <t>Duplicate payment</t>
        </is>
      </c>
      <c r="D18" s="4" t="inlineStr">
        <is>
          <t>Identical payment already recorded on the same date</t>
        </is>
      </c>
      <c r="E18" s="8" t="n">
        <v>55416.67</v>
      </c>
      <c r="F18" s="4" t="inlineStr">
        <is>
          <t>Medium</t>
        </is>
      </c>
    </row>
    <row r="19">
      <c r="A19" s="4" t="inlineStr">
        <is>
          <t>L1184</t>
        </is>
      </c>
      <c r="B19" s="4" t="inlineStr">
        <is>
          <t>T91078</t>
        </is>
      </c>
      <c r="C19" s="4" t="inlineStr">
        <is>
          <t>Duplicate payment</t>
        </is>
      </c>
      <c r="D19" s="4" t="inlineStr">
        <is>
          <t>Identical payment already recorded on the same date</t>
        </is>
      </c>
      <c r="E19" s="8" t="n">
        <v>388333.33</v>
      </c>
      <c r="F19" s="4" t="inlineStr">
        <is>
          <t>Medium</t>
        </is>
      </c>
    </row>
    <row r="20">
      <c r="A20" s="4" t="inlineStr">
        <is>
          <t>L1225</t>
        </is>
      </c>
      <c r="B20" s="4" t="inlineStr">
        <is>
          <t>T91329</t>
        </is>
      </c>
      <c r="C20" s="4" t="inlineStr">
        <is>
          <t>Duplicate payment</t>
        </is>
      </c>
      <c r="D20" s="4" t="inlineStr">
        <is>
          <t>Identical payment already recorded on the same date</t>
        </is>
      </c>
      <c r="E20" s="8" t="n">
        <v>126111.11</v>
      </c>
      <c r="F20" s="4" t="inlineStr">
        <is>
          <t>Medium</t>
        </is>
      </c>
    </row>
    <row r="21">
      <c r="A21" s="4" t="inlineStr">
        <is>
          <t>L1165</t>
        </is>
      </c>
      <c r="B21" s="4" t="inlineStr">
        <is>
          <t>T90992</t>
        </is>
      </c>
      <c r="C21" s="4" t="inlineStr">
        <is>
          <t>Duplicate payment</t>
        </is>
      </c>
      <c r="D21" s="4" t="inlineStr">
        <is>
          <t>Identical payment already recorded on the same date</t>
        </is>
      </c>
      <c r="E21" s="8" t="n">
        <v>66666.67</v>
      </c>
      <c r="F21" s="4" t="inlineStr">
        <is>
          <t>Medium</t>
        </is>
      </c>
    </row>
    <row r="22">
      <c r="A22" s="4" t="inlineStr">
        <is>
          <t>L1088</t>
        </is>
      </c>
      <c r="B22" s="4" t="inlineStr">
        <is>
          <t>T90484</t>
        </is>
      </c>
      <c r="C22" s="4" t="inlineStr">
        <is>
          <t>Duplicate payment</t>
        </is>
      </c>
      <c r="D22" s="4" t="inlineStr">
        <is>
          <t>Identical payment already recorded on the same date</t>
        </is>
      </c>
      <c r="E22" s="8" t="n">
        <v>25416.67</v>
      </c>
      <c r="F22" s="4" t="inlineStr">
        <is>
          <t>Medium</t>
        </is>
      </c>
    </row>
    <row r="23">
      <c r="A23" s="4" t="inlineStr">
        <is>
          <t>L1176</t>
        </is>
      </c>
      <c r="B23" s="4" t="inlineStr">
        <is>
          <t>T91051</t>
        </is>
      </c>
      <c r="C23" s="4" t="inlineStr">
        <is>
          <t>Duplicate payment</t>
        </is>
      </c>
      <c r="D23" s="4" t="inlineStr">
        <is>
          <t>Identical payment already recorded on the same date</t>
        </is>
      </c>
      <c r="E23" s="8" t="n">
        <v>25416.67</v>
      </c>
      <c r="F23" s="4" t="inlineStr">
        <is>
          <t>Medium</t>
        </is>
      </c>
    </row>
    <row r="24">
      <c r="A24" s="4" t="inlineStr">
        <is>
          <t>L1234</t>
        </is>
      </c>
      <c r="B24" s="4" t="inlineStr">
        <is>
          <t>T91399</t>
        </is>
      </c>
      <c r="C24" s="4" t="inlineStr">
        <is>
          <t>Overpayment</t>
        </is>
      </c>
      <c r="D24" s="4" t="inlineStr">
        <is>
          <t>Paid 204,375 vs scheduled 136,250</t>
        </is>
      </c>
      <c r="E24" s="8" t="n">
        <v>68125</v>
      </c>
      <c r="F24" s="4" t="inlineStr">
        <is>
          <t>Low</t>
        </is>
      </c>
    </row>
    <row r="25">
      <c r="A25" s="4" t="inlineStr">
        <is>
          <t>L1034</t>
        </is>
      </c>
      <c r="B25" s="4" t="inlineStr">
        <is>
          <t>T90210</t>
        </is>
      </c>
      <c r="C25" s="4" t="inlineStr">
        <is>
          <t>Overpayment</t>
        </is>
      </c>
      <c r="D25" s="4" t="inlineStr">
        <is>
          <t>Paid 114,375 vs scheduled 76,250</t>
        </is>
      </c>
      <c r="E25" s="8" t="n">
        <v>38125</v>
      </c>
      <c r="F25" s="4" t="inlineStr">
        <is>
          <t>Low</t>
        </is>
      </c>
    </row>
    <row r="26">
      <c r="A26" s="4" t="inlineStr">
        <is>
          <t>L1062</t>
        </is>
      </c>
      <c r="B26" s="4" t="inlineStr">
        <is>
          <t>T90370</t>
        </is>
      </c>
      <c r="C26" s="4" t="inlineStr">
        <is>
          <t>Underpayment</t>
        </is>
      </c>
      <c r="D26" s="4" t="inlineStr">
        <is>
          <t>Paid 118,000 vs scheduled 295,000</t>
        </is>
      </c>
      <c r="E26" s="8" t="n">
        <v>-177000</v>
      </c>
      <c r="F26" s="4" t="inlineStr">
        <is>
          <t>Low</t>
        </is>
      </c>
    </row>
    <row r="27">
      <c r="A27" s="4" t="inlineStr">
        <is>
          <t>L1084</t>
        </is>
      </c>
      <c r="B27" s="4" t="inlineStr">
        <is>
          <t>T90462</t>
        </is>
      </c>
      <c r="C27" s="4" t="inlineStr">
        <is>
          <t>Underpayment</t>
        </is>
      </c>
      <c r="D27" s="4" t="inlineStr">
        <is>
          <t>Paid 46,333 vs scheduled 115,833</t>
        </is>
      </c>
      <c r="E27" s="8" t="n">
        <v>-69500</v>
      </c>
      <c r="F27" s="4" t="inlineStr">
        <is>
          <t>Low</t>
        </is>
      </c>
    </row>
    <row r="28">
      <c r="A28" s="4" t="inlineStr">
        <is>
          <t>L1223</t>
        </is>
      </c>
      <c r="B28" s="4" t="inlineStr">
        <is>
          <t>T91316</t>
        </is>
      </c>
      <c r="C28" s="4" t="inlineStr">
        <is>
          <t>Overpayment</t>
        </is>
      </c>
      <c r="D28" s="4" t="inlineStr">
        <is>
          <t>Paid 138,750 vs scheduled 92,500</t>
        </is>
      </c>
      <c r="E28" s="8" t="n">
        <v>46250</v>
      </c>
      <c r="F28" s="4" t="inlineStr">
        <is>
          <t>Low</t>
        </is>
      </c>
    </row>
    <row r="29">
      <c r="A29" s="4" t="inlineStr">
        <is>
          <t>L1130</t>
        </is>
      </c>
      <c r="B29" s="4" t="inlineStr">
        <is>
          <t>T90781</t>
        </is>
      </c>
      <c r="C29" s="4" t="inlineStr">
        <is>
          <t>Underpayment</t>
        </is>
      </c>
      <c r="D29" s="4" t="inlineStr">
        <is>
          <t>Paid 39,833 vs scheduled 99,583</t>
        </is>
      </c>
      <c r="E29" s="8" t="n">
        <v>-59750</v>
      </c>
      <c r="F29" s="4" t="inlineStr">
        <is>
          <t>Low</t>
        </is>
      </c>
    </row>
    <row r="30">
      <c r="A30" s="4" t="inlineStr">
        <is>
          <t>L1158</t>
        </is>
      </c>
      <c r="B30" s="4" t="inlineStr">
        <is>
          <t>T90945</t>
        </is>
      </c>
      <c r="C30" s="4" t="inlineStr">
        <is>
          <t>Overpayment</t>
        </is>
      </c>
      <c r="D30" s="4" t="inlineStr">
        <is>
          <t>Paid 51,042 vs scheduled 34,028</t>
        </is>
      </c>
      <c r="E30" s="8" t="n">
        <v>17013.89</v>
      </c>
      <c r="F30" s="4" t="inlineStr">
        <is>
          <t>Low</t>
        </is>
      </c>
    </row>
    <row r="31">
      <c r="A31" s="4" t="inlineStr">
        <is>
          <t>L1193</t>
        </is>
      </c>
      <c r="B31" s="4" t="inlineStr">
        <is>
          <t>T91148</t>
        </is>
      </c>
      <c r="C31" s="4" t="inlineStr">
        <is>
          <t>Overpayment</t>
        </is>
      </c>
      <c r="D31" s="4" t="inlineStr">
        <is>
          <t>Paid 135,000 vs scheduled 90,000</t>
        </is>
      </c>
      <c r="E31" s="8" t="n">
        <v>45000</v>
      </c>
      <c r="F31" s="4" t="inlineStr">
        <is>
          <t>Low</t>
        </is>
      </c>
    </row>
    <row r="32">
      <c r="A32" s="4" t="inlineStr">
        <is>
          <t>L1088</t>
        </is>
      </c>
      <c r="B32" s="4" t="inlineStr">
        <is>
          <t>T90487</t>
        </is>
      </c>
      <c r="C32" s="4" t="inlineStr">
        <is>
          <t>Underpayment</t>
        </is>
      </c>
      <c r="D32" s="4" t="inlineStr">
        <is>
          <t>Paid 10,167 vs scheduled 25,417</t>
        </is>
      </c>
      <c r="E32" s="8" t="n">
        <v>-15250</v>
      </c>
      <c r="F32" s="4" t="inlineStr">
        <is>
          <t>Low</t>
        </is>
      </c>
    </row>
    <row r="33">
      <c r="A33" s="4" t="inlineStr">
        <is>
          <t>L1226</t>
        </is>
      </c>
      <c r="B33" s="4" t="inlineStr">
        <is>
          <t>T91335</t>
        </is>
      </c>
      <c r="C33" s="4" t="inlineStr">
        <is>
          <t>Underpayment</t>
        </is>
      </c>
      <c r="D33" s="4" t="inlineStr">
        <is>
          <t>Paid 15,444 vs scheduled 38,611</t>
        </is>
      </c>
      <c r="E33" s="8" t="n">
        <v>-23166.67</v>
      </c>
      <c r="F33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Vintage / Cohort Collection Curve</t>
        </is>
      </c>
    </row>
    <row r="2">
      <c r="A2" s="2" t="inlineStr">
        <is>
          <t>Collection rate by disbursement month.</t>
        </is>
      </c>
    </row>
    <row r="4">
      <c r="A4" s="6" t="inlineStr">
        <is>
          <t>Vintage</t>
        </is>
      </c>
      <c r="B4" s="6" t="inlineStr">
        <is>
          <t>Loans</t>
        </is>
      </c>
      <c r="C4" s="6" t="inlineStr">
        <is>
          <t>Disbursed (NGN)</t>
        </is>
      </c>
      <c r="D4" s="6" t="inlineStr">
        <is>
          <t>Expected (NGN)</t>
        </is>
      </c>
      <c r="E4" s="6" t="inlineStr">
        <is>
          <t>Collected (NGN)</t>
        </is>
      </c>
      <c r="F4" s="6" t="inlineStr">
        <is>
          <t>Collection rate</t>
        </is>
      </c>
    </row>
    <row r="5">
      <c r="A5" s="4" t="inlineStr">
        <is>
          <t>2024-12</t>
        </is>
      </c>
      <c r="B5" s="4" t="n">
        <v>11</v>
      </c>
      <c r="C5" s="8" t="n">
        <v>7000000</v>
      </c>
      <c r="D5" s="8" t="n">
        <v>8415000.24</v>
      </c>
      <c r="E5" s="8" t="n">
        <v>7346111.28</v>
      </c>
      <c r="F5" s="10" t="n">
        <v>0.873</v>
      </c>
    </row>
    <row r="6">
      <c r="A6" s="4" t="inlineStr">
        <is>
          <t>2025-01</t>
        </is>
      </c>
      <c r="B6" s="4" t="n">
        <v>15</v>
      </c>
      <c r="C6" s="8" t="n">
        <v>15000000</v>
      </c>
      <c r="D6" s="8" t="n">
        <v>17726388.9</v>
      </c>
      <c r="E6" s="8" t="n">
        <v>16184888.91</v>
      </c>
      <c r="F6" s="10" t="n">
        <v>0.913</v>
      </c>
    </row>
    <row r="7">
      <c r="A7" s="4" t="inlineStr">
        <is>
          <t>2025-02</t>
        </is>
      </c>
      <c r="B7" s="4" t="n">
        <v>17</v>
      </c>
      <c r="C7" s="8" t="n">
        <v>23500000</v>
      </c>
      <c r="D7" s="8" t="n">
        <v>27196666.73</v>
      </c>
      <c r="E7" s="8" t="n">
        <v>22960736.14</v>
      </c>
      <c r="F7" s="10" t="n">
        <v>0.8442</v>
      </c>
    </row>
    <row r="8">
      <c r="A8" s="4" t="inlineStr">
        <is>
          <t>2025-03</t>
        </is>
      </c>
      <c r="B8" s="4" t="n">
        <v>9</v>
      </c>
      <c r="C8" s="8" t="n">
        <v>13250000</v>
      </c>
      <c r="D8" s="8" t="n">
        <v>14340833.16</v>
      </c>
      <c r="E8" s="8" t="n">
        <v>12231110.97</v>
      </c>
      <c r="F8" s="10" t="n">
        <v>0.8529</v>
      </c>
    </row>
    <row r="9">
      <c r="A9" s="4" t="inlineStr">
        <is>
          <t>2025-04</t>
        </is>
      </c>
      <c r="B9" s="4" t="n">
        <v>14</v>
      </c>
      <c r="C9" s="8" t="n">
        <v>15500000</v>
      </c>
      <c r="D9" s="8" t="n">
        <v>15740555.55</v>
      </c>
      <c r="E9" s="8" t="n">
        <v>11570069.44</v>
      </c>
      <c r="F9" s="10" t="n">
        <v>0.735</v>
      </c>
    </row>
    <row r="10">
      <c r="A10" s="4" t="inlineStr">
        <is>
          <t>2025-05</t>
        </is>
      </c>
      <c r="B10" s="4" t="n">
        <v>13</v>
      </c>
      <c r="C10" s="8" t="n">
        <v>16000000</v>
      </c>
      <c r="D10" s="8" t="n">
        <v>15480416.62</v>
      </c>
      <c r="E10" s="8" t="n">
        <v>11009583.28</v>
      </c>
      <c r="F10" s="10" t="n">
        <v>0.7112000000000001</v>
      </c>
    </row>
    <row r="11">
      <c r="A11" s="4" t="inlineStr">
        <is>
          <t>2025-06</t>
        </is>
      </c>
      <c r="B11" s="4" t="n">
        <v>12</v>
      </c>
      <c r="C11" s="8" t="n">
        <v>10750000</v>
      </c>
      <c r="D11" s="8" t="n">
        <v>10740000.06</v>
      </c>
      <c r="E11" s="8" t="n">
        <v>8945555.609999999</v>
      </c>
      <c r="F11" s="10" t="n">
        <v>0.8329</v>
      </c>
    </row>
    <row r="12">
      <c r="A12" s="4" t="inlineStr">
        <is>
          <t>2025-07</t>
        </is>
      </c>
      <c r="B12" s="4" t="n">
        <v>14</v>
      </c>
      <c r="C12" s="8" t="n">
        <v>18000000</v>
      </c>
      <c r="D12" s="8" t="n">
        <v>15900833.34</v>
      </c>
      <c r="E12" s="8" t="n">
        <v>13467500.01</v>
      </c>
      <c r="F12" s="10" t="n">
        <v>0.847</v>
      </c>
    </row>
    <row r="13">
      <c r="A13" s="4" t="inlineStr">
        <is>
          <t>2025-08</t>
        </is>
      </c>
      <c r="B13" s="4" t="n">
        <v>12</v>
      </c>
      <c r="C13" s="8" t="n">
        <v>16000000</v>
      </c>
      <c r="D13" s="8" t="n">
        <v>15814583.36</v>
      </c>
      <c r="E13" s="8" t="n">
        <v>14478611.1</v>
      </c>
      <c r="F13" s="10" t="n">
        <v>0.9155</v>
      </c>
    </row>
    <row r="14">
      <c r="A14" s="4" t="inlineStr">
        <is>
          <t>2025-09</t>
        </is>
      </c>
      <c r="B14" s="4" t="n">
        <v>16</v>
      </c>
      <c r="C14" s="8" t="n">
        <v>22250000</v>
      </c>
      <c r="D14" s="8" t="n">
        <v>19451249.91</v>
      </c>
      <c r="E14" s="8" t="n">
        <v>15939305.48</v>
      </c>
      <c r="F14" s="10" t="n">
        <v>0.8194</v>
      </c>
    </row>
    <row r="15">
      <c r="A15" s="4" t="inlineStr">
        <is>
          <t>2025-10</t>
        </is>
      </c>
      <c r="B15" s="4" t="n">
        <v>14</v>
      </c>
      <c r="C15" s="8" t="n">
        <v>18750000</v>
      </c>
      <c r="D15" s="8" t="n">
        <v>17482222.24</v>
      </c>
      <c r="E15" s="8" t="n">
        <v>14232291.65</v>
      </c>
      <c r="F15" s="10" t="n">
        <v>0.8141</v>
      </c>
    </row>
    <row r="16">
      <c r="A16" s="4" t="inlineStr">
        <is>
          <t>2025-11</t>
        </is>
      </c>
      <c r="B16" s="4" t="n">
        <v>10</v>
      </c>
      <c r="C16" s="8" t="n">
        <v>19500000</v>
      </c>
      <c r="D16" s="8" t="n">
        <v>15142777.73</v>
      </c>
      <c r="E16" s="8" t="n">
        <v>10197722.17</v>
      </c>
      <c r="F16" s="10" t="n">
        <v>0.6734</v>
      </c>
    </row>
    <row r="17">
      <c r="A17" s="4" t="inlineStr">
        <is>
          <t>2025-12</t>
        </is>
      </c>
      <c r="B17" s="4" t="n">
        <v>10</v>
      </c>
      <c r="C17" s="8" t="n">
        <v>13500000</v>
      </c>
      <c r="D17" s="8" t="n">
        <v>9765000</v>
      </c>
      <c r="E17" s="8" t="n">
        <v>6703861.1</v>
      </c>
      <c r="F17" s="10" t="n">
        <v>0.6865</v>
      </c>
    </row>
    <row r="18">
      <c r="A18" s="4" t="inlineStr">
        <is>
          <t>2026-01</t>
        </is>
      </c>
      <c r="B18" s="4" t="n">
        <v>18</v>
      </c>
      <c r="C18" s="8" t="n">
        <v>23500000</v>
      </c>
      <c r="D18" s="8" t="n">
        <v>10327777.8</v>
      </c>
      <c r="E18" s="8" t="n">
        <v>5958333.34</v>
      </c>
      <c r="F18" s="10" t="n">
        <v>0.5769</v>
      </c>
    </row>
    <row r="19">
      <c r="A19" s="4" t="inlineStr">
        <is>
          <t>2026-02</t>
        </is>
      </c>
      <c r="B19" s="4" t="n">
        <v>13</v>
      </c>
      <c r="C19" s="8" t="n">
        <v>19750000</v>
      </c>
      <c r="D19" s="8" t="n">
        <v>7921666.64</v>
      </c>
      <c r="E19" s="8" t="n">
        <v>4749583.32</v>
      </c>
      <c r="F19" s="10" t="n">
        <v>0.5996</v>
      </c>
    </row>
    <row r="20">
      <c r="A20" s="4" t="inlineStr">
        <is>
          <t>2026-03</t>
        </is>
      </c>
      <c r="B20" s="4" t="n">
        <v>13</v>
      </c>
      <c r="C20" s="8" t="n">
        <v>16750000</v>
      </c>
      <c r="D20" s="8" t="n">
        <v>6077083.38</v>
      </c>
      <c r="E20" s="8" t="n">
        <v>2740277.8</v>
      </c>
      <c r="F20" s="10" t="n">
        <v>0.4509</v>
      </c>
    </row>
    <row r="21">
      <c r="A21" s="4" t="inlineStr">
        <is>
          <t>2026-04</t>
        </is>
      </c>
      <c r="B21" s="4" t="n">
        <v>13</v>
      </c>
      <c r="C21" s="8" t="n">
        <v>20750000</v>
      </c>
      <c r="D21" s="8" t="n">
        <v>4056944.44</v>
      </c>
      <c r="E21" s="8" t="n">
        <v>1479444.45</v>
      </c>
      <c r="F21" s="10" t="n">
        <v>0.3647</v>
      </c>
    </row>
    <row r="22">
      <c r="A22" s="4" t="inlineStr">
        <is>
          <t>2026-05</t>
        </is>
      </c>
      <c r="B22" s="4" t="n">
        <v>16</v>
      </c>
      <c r="C22" s="8" t="n">
        <v>15750000</v>
      </c>
      <c r="D22" s="8" t="n">
        <v>1708611.12</v>
      </c>
      <c r="E22" s="8" t="n">
        <v>0</v>
      </c>
      <c r="F22" s="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Exposure by Sector</t>
        </is>
      </c>
    </row>
    <row r="3">
      <c r="A3" s="6" t="inlineStr">
        <is>
          <t>Sector</t>
        </is>
      </c>
      <c r="B3" s="6" t="inlineStr">
        <is>
          <t>Loans</t>
        </is>
      </c>
      <c r="C3" s="6" t="inlineStr">
        <is>
          <t>Disbursed (NGN)</t>
        </is>
      </c>
      <c r="D3" s="6" t="inlineStr">
        <is>
          <t>Outstanding (NGN)</t>
        </is>
      </c>
    </row>
    <row r="4">
      <c r="A4" s="4" t="inlineStr">
        <is>
          <t>Health</t>
        </is>
      </c>
      <c r="B4" s="4" t="n">
        <v>32</v>
      </c>
      <c r="C4" s="8" t="n">
        <v>49000000</v>
      </c>
      <c r="D4" s="8" t="n">
        <v>38028055.78</v>
      </c>
    </row>
    <row r="5">
      <c r="A5" s="4" t="inlineStr">
        <is>
          <t>Construction</t>
        </is>
      </c>
      <c r="B5" s="4" t="n">
        <v>26</v>
      </c>
      <c r="C5" s="8" t="n">
        <v>35250000</v>
      </c>
      <c r="D5" s="8" t="n">
        <v>21905583.52</v>
      </c>
    </row>
    <row r="6">
      <c r="A6" s="4" t="inlineStr">
        <is>
          <t>Education</t>
        </is>
      </c>
      <c r="B6" s="4" t="n">
        <v>29</v>
      </c>
      <c r="C6" s="8" t="n">
        <v>34000000</v>
      </c>
      <c r="D6" s="8" t="n">
        <v>21297694.35</v>
      </c>
    </row>
    <row r="7">
      <c r="A7" s="4" t="inlineStr">
        <is>
          <t>Fashion</t>
        </is>
      </c>
      <c r="B7" s="4" t="n">
        <v>22</v>
      </c>
      <c r="C7" s="8" t="n">
        <v>30250000</v>
      </c>
      <c r="D7" s="8" t="n">
        <v>19795416.36</v>
      </c>
    </row>
    <row r="8">
      <c r="A8" s="4" t="inlineStr">
        <is>
          <t>Manufacturing</t>
        </is>
      </c>
      <c r="B8" s="4" t="n">
        <v>20</v>
      </c>
      <c r="C8" s="8" t="n">
        <v>29500000</v>
      </c>
      <c r="D8" s="8" t="n">
        <v>21826166.65</v>
      </c>
    </row>
    <row r="9">
      <c r="A9" s="4" t="inlineStr">
        <is>
          <t>Agriculture</t>
        </is>
      </c>
      <c r="B9" s="4" t="n">
        <v>24</v>
      </c>
      <c r="C9" s="8" t="n">
        <v>27750000</v>
      </c>
      <c r="D9" s="8" t="n">
        <v>18885694.62</v>
      </c>
    </row>
    <row r="10">
      <c r="A10" s="4" t="inlineStr">
        <is>
          <t>Logistics</t>
        </is>
      </c>
      <c r="B10" s="4" t="n">
        <v>23</v>
      </c>
      <c r="C10" s="8" t="n">
        <v>26250000</v>
      </c>
      <c r="D10" s="8" t="n">
        <v>24146944.54</v>
      </c>
    </row>
    <row r="11">
      <c r="A11" s="4" t="inlineStr">
        <is>
          <t>Retail</t>
        </is>
      </c>
      <c r="B11" s="4" t="n">
        <v>21</v>
      </c>
      <c r="C11" s="8" t="n">
        <v>26000000</v>
      </c>
      <c r="D11" s="8" t="n">
        <v>16705416.84</v>
      </c>
    </row>
    <row r="12">
      <c r="A12" s="4" t="inlineStr">
        <is>
          <t>Food &amp; Beverage</t>
        </is>
      </c>
      <c r="B12" s="4" t="n">
        <v>27</v>
      </c>
      <c r="C12" s="8" t="n">
        <v>24250000</v>
      </c>
      <c r="D12" s="8" t="n">
        <v>12006361.05</v>
      </c>
    </row>
    <row r="13">
      <c r="A13" s="4" t="inlineStr">
        <is>
          <t>Technology</t>
        </is>
      </c>
      <c r="B13" s="4" t="n">
        <v>16</v>
      </c>
      <c r="C13" s="8" t="n">
        <v>23250000</v>
      </c>
      <c r="D13" s="8" t="n">
        <v>19162361.34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2026-06-17T08:03:21Z</dcterms:created>
  <dcterms:modified xmlns:dcterms="http://purl.org/dc/terms/" xmlns:xsi="http://www.w3.org/2001/XMLSchema-instance" xsi:type="dcterms:W3CDTF">2026-06-17T08:03:21Z</dcterms:modified>
</cp:coreProperties>
</file>